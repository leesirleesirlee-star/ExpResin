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3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32.xml" ContentType="application/vnd.openxmlformats-officedocument.drawingml.chart+xml"/>
  <Override PartName="/xl/drawings/drawing12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3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4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6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7.xml" ContentType="application/vnd.openxmlformats-officedocument.drawing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5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8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9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0.xml" ContentType="application/vnd.openxmlformats-officedocument.drawing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6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1.xml" ContentType="application/vnd.openxmlformats-officedocument.drawing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6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115f7fc0f4dd4860/0 GTSI/0 Research/0 Projects Students/21 IX seawater Haotian Du/"/>
    </mc:Choice>
  </mc:AlternateContent>
  <xr:revisionPtr revIDLastSave="1" documentId="13_ncr:1_{C797442D-39CB-40B0-909F-CDF77D65B7CA}" xr6:coauthVersionLast="47" xr6:coauthVersionMax="47" xr10:uidLastSave="{B3ADC661-3CBA-46A0-A45A-7CA8CE4128BC}"/>
  <bookViews>
    <workbookView xWindow="-110" yWindow="-110" windowWidth="38620" windowHeight="21100" firstSheet="11" activeTab="20" xr2:uid="{00000000-000D-0000-FFFF-FFFF00000000}"/>
  </bookViews>
  <sheets>
    <sheet name="0121" sheetId="1" r:id="rId1"/>
    <sheet name="0212" sheetId="2" r:id="rId2"/>
    <sheet name="0219" sheetId="3" r:id="rId3"/>
    <sheet name="0305-600" sheetId="4" r:id="rId4"/>
    <sheet name="0305-520" sheetId="6" r:id="rId5"/>
    <sheet name="0312-600 " sheetId="8" r:id="rId6"/>
    <sheet name="0312-520" sheetId="10" r:id="rId7"/>
    <sheet name="0319-520 " sheetId="11" r:id="rId8"/>
    <sheet name="0326-600" sheetId="12" r:id="rId9"/>
    <sheet name="0326-520" sheetId="13" r:id="rId10"/>
    <sheet name="0326-C104" sheetId="14" r:id="rId11"/>
    <sheet name="0409-600 " sheetId="15" r:id="rId12"/>
    <sheet name="0406-520" sheetId="16" r:id="rId13"/>
    <sheet name="0416-600 " sheetId="17" r:id="rId14"/>
    <sheet name="0416-520" sheetId="18" r:id="rId15"/>
    <sheet name="0423-600" sheetId="19" r:id="rId16"/>
    <sheet name="0423-520" sheetId="20" r:id="rId17"/>
    <sheet name="0512-520" sheetId="21" r:id="rId18"/>
    <sheet name="0512-600" sheetId="22" r:id="rId19"/>
    <sheet name="0512-C104" sheetId="23" r:id="rId20"/>
    <sheet name="0528-C104 " sheetId="24" r:id="rId2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24" l="1"/>
  <c r="G28" i="24"/>
  <c r="F28" i="24"/>
  <c r="A23" i="24"/>
  <c r="E37" i="24"/>
  <c r="F37" i="24" s="1"/>
  <c r="G37" i="24" s="1"/>
  <c r="H37" i="24" s="1"/>
  <c r="A37" i="24"/>
  <c r="E23" i="24"/>
  <c r="F23" i="24" s="1"/>
  <c r="G23" i="24" s="1"/>
  <c r="H23" i="24" s="1"/>
  <c r="A36" i="24"/>
  <c r="A30" i="24"/>
  <c r="A31" i="24"/>
  <c r="A32" i="24"/>
  <c r="A33" i="24"/>
  <c r="A34" i="24"/>
  <c r="A35" i="24"/>
  <c r="A27" i="24"/>
  <c r="A16" i="24"/>
  <c r="A17" i="24"/>
  <c r="A18" i="24"/>
  <c r="A19" i="24"/>
  <c r="A20" i="24"/>
  <c r="A21" i="24"/>
  <c r="A22" i="24"/>
  <c r="A14" i="24"/>
  <c r="E36" i="24"/>
  <c r="F36" i="24" s="1"/>
  <c r="G36" i="24" s="1"/>
  <c r="H36" i="24" s="1"/>
  <c r="E35" i="24"/>
  <c r="F35" i="24" s="1"/>
  <c r="G35" i="24" s="1"/>
  <c r="H35" i="24" s="1"/>
  <c r="E34" i="24"/>
  <c r="F34" i="24" s="1"/>
  <c r="G34" i="24" s="1"/>
  <c r="H34" i="24" s="1"/>
  <c r="E33" i="24"/>
  <c r="F33" i="24" s="1"/>
  <c r="G33" i="24" s="1"/>
  <c r="H33" i="24" s="1"/>
  <c r="E32" i="24"/>
  <c r="F32" i="24" s="1"/>
  <c r="G32" i="24" s="1"/>
  <c r="H32" i="24" s="1"/>
  <c r="E31" i="24"/>
  <c r="F31" i="24" s="1"/>
  <c r="G31" i="24" s="1"/>
  <c r="H31" i="24" s="1"/>
  <c r="E30" i="24"/>
  <c r="F30" i="24" s="1"/>
  <c r="G30" i="24" s="1"/>
  <c r="H30" i="24" s="1"/>
  <c r="E29" i="24"/>
  <c r="F29" i="24" s="1"/>
  <c r="G29" i="24" s="1"/>
  <c r="H29" i="24" s="1"/>
  <c r="A29" i="24"/>
  <c r="E27" i="24"/>
  <c r="F27" i="24" s="1"/>
  <c r="G27" i="24" s="1"/>
  <c r="H27" i="24" s="1"/>
  <c r="E22" i="24"/>
  <c r="F22" i="24" s="1"/>
  <c r="E21" i="24"/>
  <c r="F21" i="24" s="1"/>
  <c r="G21" i="24" s="1"/>
  <c r="H21" i="24" s="1"/>
  <c r="E20" i="24"/>
  <c r="F20" i="24" s="1"/>
  <c r="G20" i="24" s="1"/>
  <c r="H20" i="24" s="1"/>
  <c r="E19" i="24"/>
  <c r="F19" i="24" s="1"/>
  <c r="G19" i="24" s="1"/>
  <c r="H19" i="24" s="1"/>
  <c r="E18" i="24"/>
  <c r="F18" i="24" s="1"/>
  <c r="G18" i="24" s="1"/>
  <c r="H18" i="24" s="1"/>
  <c r="E17" i="24"/>
  <c r="F17" i="24" s="1"/>
  <c r="G17" i="24" s="1"/>
  <c r="H17" i="24" s="1"/>
  <c r="E16" i="24"/>
  <c r="F16" i="24" s="1"/>
  <c r="G16" i="24" s="1"/>
  <c r="H16" i="24" s="1"/>
  <c r="E15" i="24"/>
  <c r="F15" i="24" s="1"/>
  <c r="G15" i="24" s="1"/>
  <c r="H15" i="24" s="1"/>
  <c r="A15" i="24"/>
  <c r="E14" i="24"/>
  <c r="F14" i="24" s="1"/>
  <c r="G14" i="24" s="1"/>
  <c r="H14" i="24" s="1"/>
  <c r="G28" i="23"/>
  <c r="G29" i="23"/>
  <c r="G30" i="23"/>
  <c r="G31" i="23"/>
  <c r="G32" i="23"/>
  <c r="G33" i="23"/>
  <c r="G34" i="23"/>
  <c r="G35" i="23"/>
  <c r="G27" i="23"/>
  <c r="F28" i="23"/>
  <c r="F29" i="23"/>
  <c r="F30" i="23"/>
  <c r="F31" i="23"/>
  <c r="F32" i="23"/>
  <c r="F33" i="23"/>
  <c r="F34" i="23"/>
  <c r="F35" i="23"/>
  <c r="F27" i="23"/>
  <c r="E35" i="23"/>
  <c r="A35" i="23"/>
  <c r="E34" i="23"/>
  <c r="A34" i="23"/>
  <c r="E33" i="23"/>
  <c r="A33" i="23"/>
  <c r="E32" i="23"/>
  <c r="A32" i="23"/>
  <c r="E31" i="23"/>
  <c r="H31" i="23" s="1"/>
  <c r="A31" i="23"/>
  <c r="E30" i="23"/>
  <c r="H30" i="23" s="1"/>
  <c r="A30" i="23"/>
  <c r="E29" i="23"/>
  <c r="H29" i="23" s="1"/>
  <c r="A29" i="23"/>
  <c r="E28" i="23"/>
  <c r="H28" i="23" s="1"/>
  <c r="A28" i="23"/>
  <c r="E27" i="23"/>
  <c r="H27" i="23" s="1"/>
  <c r="A27" i="23"/>
  <c r="H16" i="23"/>
  <c r="H17" i="23"/>
  <c r="H18" i="23"/>
  <c r="H19" i="23"/>
  <c r="H20" i="23"/>
  <c r="H21" i="23"/>
  <c r="H22" i="23"/>
  <c r="G16" i="23"/>
  <c r="G17" i="23"/>
  <c r="G18" i="23"/>
  <c r="G19" i="23"/>
  <c r="G20" i="23"/>
  <c r="G21" i="23"/>
  <c r="G22" i="23"/>
  <c r="G15" i="23"/>
  <c r="G14" i="23"/>
  <c r="F16" i="23"/>
  <c r="F17" i="23"/>
  <c r="F18" i="23"/>
  <c r="F19" i="23"/>
  <c r="F20" i="23"/>
  <c r="F21" i="23"/>
  <c r="F22" i="23"/>
  <c r="F15" i="23"/>
  <c r="E16" i="23"/>
  <c r="E17" i="23"/>
  <c r="E18" i="23"/>
  <c r="E19" i="23"/>
  <c r="E20" i="23"/>
  <c r="E21" i="23"/>
  <c r="E22" i="23"/>
  <c r="A16" i="23"/>
  <c r="A17" i="23"/>
  <c r="A18" i="23"/>
  <c r="A19" i="23"/>
  <c r="A20" i="23"/>
  <c r="A21" i="23"/>
  <c r="A22" i="23"/>
  <c r="E15" i="23"/>
  <c r="H15" i="23" s="1"/>
  <c r="A15" i="23"/>
  <c r="F14" i="23"/>
  <c r="H14" i="23" s="1"/>
  <c r="E14" i="23"/>
  <c r="A14" i="23"/>
  <c r="E69" i="22"/>
  <c r="F69" i="22" s="1"/>
  <c r="G69" i="22" s="1"/>
  <c r="H69" i="22" s="1"/>
  <c r="A69" i="22"/>
  <c r="E68" i="22"/>
  <c r="F68" i="22" s="1"/>
  <c r="G68" i="22" s="1"/>
  <c r="H68" i="22" s="1"/>
  <c r="A68" i="22"/>
  <c r="E67" i="22"/>
  <c r="F67" i="22" s="1"/>
  <c r="G67" i="22" s="1"/>
  <c r="H67" i="22" s="1"/>
  <c r="A67" i="22"/>
  <c r="E66" i="22"/>
  <c r="F66" i="22" s="1"/>
  <c r="G66" i="22" s="1"/>
  <c r="H66" i="22" s="1"/>
  <c r="A66" i="22"/>
  <c r="E65" i="22"/>
  <c r="F65" i="22" s="1"/>
  <c r="G65" i="22" s="1"/>
  <c r="H65" i="22" s="1"/>
  <c r="A65" i="22"/>
  <c r="E64" i="22"/>
  <c r="F64" i="22" s="1"/>
  <c r="G64" i="22" s="1"/>
  <c r="H64" i="22" s="1"/>
  <c r="A64" i="22"/>
  <c r="E63" i="22"/>
  <c r="F63" i="22" s="1"/>
  <c r="G63" i="22" s="1"/>
  <c r="H63" i="22" s="1"/>
  <c r="A63" i="22"/>
  <c r="E62" i="22"/>
  <c r="F62" i="22" s="1"/>
  <c r="G62" i="22" s="1"/>
  <c r="H62" i="22" s="1"/>
  <c r="A62" i="22"/>
  <c r="E61" i="22"/>
  <c r="F61" i="22" s="1"/>
  <c r="G61" i="22" s="1"/>
  <c r="H61" i="22" s="1"/>
  <c r="A61" i="22"/>
  <c r="E60" i="22"/>
  <c r="F60" i="22" s="1"/>
  <c r="G60" i="22" s="1"/>
  <c r="H60" i="22" s="1"/>
  <c r="A60" i="22"/>
  <c r="E59" i="22"/>
  <c r="F59" i="22" s="1"/>
  <c r="G59" i="22" s="1"/>
  <c r="H59" i="22" s="1"/>
  <c r="A59" i="22"/>
  <c r="E58" i="22"/>
  <c r="F58" i="22" s="1"/>
  <c r="G58" i="22" s="1"/>
  <c r="H58" i="22" s="1"/>
  <c r="A58" i="22"/>
  <c r="E57" i="22"/>
  <c r="F57" i="22" s="1"/>
  <c r="G57" i="22" s="1"/>
  <c r="H57" i="22" s="1"/>
  <c r="A57" i="22"/>
  <c r="E56" i="22"/>
  <c r="F56" i="22" s="1"/>
  <c r="G56" i="22" s="1"/>
  <c r="H56" i="22" s="1"/>
  <c r="A56" i="22"/>
  <c r="E55" i="22"/>
  <c r="F55" i="22" s="1"/>
  <c r="G55" i="22" s="1"/>
  <c r="H55" i="22" s="1"/>
  <c r="A55" i="22"/>
  <c r="E54" i="22"/>
  <c r="F54" i="22" s="1"/>
  <c r="G54" i="22" s="1"/>
  <c r="H54" i="22" s="1"/>
  <c r="A54" i="22"/>
  <c r="E53" i="22"/>
  <c r="F53" i="22" s="1"/>
  <c r="G53" i="22" s="1"/>
  <c r="H53" i="22" s="1"/>
  <c r="A53" i="22"/>
  <c r="E52" i="22"/>
  <c r="F52" i="22" s="1"/>
  <c r="G52" i="22" s="1"/>
  <c r="H52" i="22" s="1"/>
  <c r="A52" i="22"/>
  <c r="E51" i="22"/>
  <c r="F51" i="22" s="1"/>
  <c r="G51" i="22" s="1"/>
  <c r="H51" i="22" s="1"/>
  <c r="A51" i="22"/>
  <c r="F50" i="22"/>
  <c r="G50" i="22" s="1"/>
  <c r="H50" i="22" s="1"/>
  <c r="E50" i="22"/>
  <c r="A50" i="22"/>
  <c r="E49" i="22"/>
  <c r="F49" i="22" s="1"/>
  <c r="G49" i="22" s="1"/>
  <c r="H49" i="22" s="1"/>
  <c r="A49" i="22"/>
  <c r="E48" i="22"/>
  <c r="F48" i="22" s="1"/>
  <c r="G48" i="22" s="1"/>
  <c r="H48" i="22" s="1"/>
  <c r="A48" i="22"/>
  <c r="E47" i="22"/>
  <c r="F47" i="22" s="1"/>
  <c r="G47" i="22" s="1"/>
  <c r="H47" i="22" s="1"/>
  <c r="A47" i="22"/>
  <c r="E46" i="22"/>
  <c r="F46" i="22" s="1"/>
  <c r="G46" i="22" s="1"/>
  <c r="H46" i="22" s="1"/>
  <c r="A46" i="22"/>
  <c r="E37" i="22"/>
  <c r="F37" i="22" s="1"/>
  <c r="G37" i="22" s="1"/>
  <c r="H37" i="22" s="1"/>
  <c r="A37" i="22"/>
  <c r="E36" i="22"/>
  <c r="F36" i="22" s="1"/>
  <c r="G36" i="22" s="1"/>
  <c r="H36" i="22" s="1"/>
  <c r="A36" i="22"/>
  <c r="E35" i="22"/>
  <c r="F35" i="22" s="1"/>
  <c r="G35" i="22" s="1"/>
  <c r="H35" i="22" s="1"/>
  <c r="A35" i="22"/>
  <c r="E34" i="22"/>
  <c r="F34" i="22" s="1"/>
  <c r="G34" i="22" s="1"/>
  <c r="H34" i="22" s="1"/>
  <c r="A34" i="22"/>
  <c r="E33" i="22"/>
  <c r="F33" i="22" s="1"/>
  <c r="G33" i="22" s="1"/>
  <c r="H33" i="22" s="1"/>
  <c r="A33" i="22"/>
  <c r="E32" i="22"/>
  <c r="F32" i="22" s="1"/>
  <c r="G32" i="22" s="1"/>
  <c r="H32" i="22" s="1"/>
  <c r="A32" i="22"/>
  <c r="E31" i="22"/>
  <c r="F31" i="22" s="1"/>
  <c r="G31" i="22" s="1"/>
  <c r="H31" i="22" s="1"/>
  <c r="A31" i="22"/>
  <c r="E30" i="22"/>
  <c r="F30" i="22" s="1"/>
  <c r="G30" i="22" s="1"/>
  <c r="H30" i="22" s="1"/>
  <c r="A30" i="22"/>
  <c r="E29" i="22"/>
  <c r="F29" i="22" s="1"/>
  <c r="G29" i="22" s="1"/>
  <c r="H29" i="22" s="1"/>
  <c r="A29" i="22"/>
  <c r="E28" i="22"/>
  <c r="F28" i="22" s="1"/>
  <c r="G28" i="22" s="1"/>
  <c r="H28" i="22" s="1"/>
  <c r="A28" i="22"/>
  <c r="E27" i="22"/>
  <c r="F27" i="22" s="1"/>
  <c r="G27" i="22" s="1"/>
  <c r="H27" i="22" s="1"/>
  <c r="A27" i="22"/>
  <c r="E26" i="22"/>
  <c r="F26" i="22" s="1"/>
  <c r="G26" i="22" s="1"/>
  <c r="H26" i="22" s="1"/>
  <c r="A26" i="22"/>
  <c r="E25" i="22"/>
  <c r="F25" i="22" s="1"/>
  <c r="G25" i="22" s="1"/>
  <c r="H25" i="22" s="1"/>
  <c r="A25" i="22"/>
  <c r="E24" i="22"/>
  <c r="F24" i="22" s="1"/>
  <c r="G24" i="22" s="1"/>
  <c r="H24" i="22" s="1"/>
  <c r="A24" i="22"/>
  <c r="E23" i="22"/>
  <c r="F23" i="22" s="1"/>
  <c r="G23" i="22" s="1"/>
  <c r="H23" i="22" s="1"/>
  <c r="A23" i="22"/>
  <c r="E22" i="22"/>
  <c r="F22" i="22" s="1"/>
  <c r="G22" i="22" s="1"/>
  <c r="H22" i="22" s="1"/>
  <c r="A22" i="22"/>
  <c r="E21" i="22"/>
  <c r="F21" i="22" s="1"/>
  <c r="G21" i="22" s="1"/>
  <c r="H21" i="22" s="1"/>
  <c r="A21" i="22"/>
  <c r="E20" i="22"/>
  <c r="F20" i="22" s="1"/>
  <c r="G20" i="22" s="1"/>
  <c r="H20" i="22" s="1"/>
  <c r="A20" i="22"/>
  <c r="E19" i="22"/>
  <c r="F19" i="22" s="1"/>
  <c r="G19" i="22" s="1"/>
  <c r="H19" i="22" s="1"/>
  <c r="A19" i="22"/>
  <c r="E18" i="22"/>
  <c r="F18" i="22" s="1"/>
  <c r="G18" i="22" s="1"/>
  <c r="H18" i="22" s="1"/>
  <c r="A18" i="22"/>
  <c r="E17" i="22"/>
  <c r="F17" i="22" s="1"/>
  <c r="G17" i="22" s="1"/>
  <c r="H17" i="22" s="1"/>
  <c r="A17" i="22"/>
  <c r="E16" i="22"/>
  <c r="F16" i="22" s="1"/>
  <c r="G16" i="22" s="1"/>
  <c r="H16" i="22" s="1"/>
  <c r="A16" i="22"/>
  <c r="F15" i="22"/>
  <c r="G15" i="22" s="1"/>
  <c r="H15" i="22" s="1"/>
  <c r="E15" i="22"/>
  <c r="A15" i="22"/>
  <c r="E14" i="22"/>
  <c r="F14" i="22" s="1"/>
  <c r="G14" i="22" s="1"/>
  <c r="H14" i="22" s="1"/>
  <c r="A14" i="22"/>
  <c r="F50" i="21"/>
  <c r="F54" i="21"/>
  <c r="F55" i="21"/>
  <c r="F56" i="21"/>
  <c r="F57" i="21"/>
  <c r="G57" i="21" s="1"/>
  <c r="H57" i="21" s="1"/>
  <c r="F65" i="21"/>
  <c r="F66" i="21"/>
  <c r="F67" i="21"/>
  <c r="F68" i="21"/>
  <c r="F69" i="21"/>
  <c r="F46" i="21"/>
  <c r="G16" i="21"/>
  <c r="G17" i="21"/>
  <c r="G33" i="21"/>
  <c r="G14" i="21"/>
  <c r="F16" i="21"/>
  <c r="F17" i="21"/>
  <c r="F23" i="21"/>
  <c r="G23" i="21" s="1"/>
  <c r="F24" i="21"/>
  <c r="G24" i="21" s="1"/>
  <c r="F25" i="21"/>
  <c r="G25" i="21" s="1"/>
  <c r="F26" i="21"/>
  <c r="G26" i="21" s="1"/>
  <c r="F27" i="21"/>
  <c r="G27" i="21" s="1"/>
  <c r="F28" i="21"/>
  <c r="G28" i="21" s="1"/>
  <c r="F29" i="21"/>
  <c r="G29" i="21" s="1"/>
  <c r="F30" i="21"/>
  <c r="G30" i="21" s="1"/>
  <c r="F31" i="21"/>
  <c r="G31" i="21" s="1"/>
  <c r="F33" i="21"/>
  <c r="F14" i="21"/>
  <c r="H14" i="21" s="1"/>
  <c r="E69" i="21"/>
  <c r="A69" i="21"/>
  <c r="E68" i="21"/>
  <c r="A68" i="21"/>
  <c r="E67" i="21"/>
  <c r="A67" i="21"/>
  <c r="E66" i="21"/>
  <c r="A66" i="21"/>
  <c r="E65" i="21"/>
  <c r="A65" i="21"/>
  <c r="E64" i="21"/>
  <c r="A64" i="21"/>
  <c r="E63" i="21"/>
  <c r="F63" i="21" s="1"/>
  <c r="A63" i="21"/>
  <c r="E62" i="21"/>
  <c r="F62" i="21" s="1"/>
  <c r="A62" i="21"/>
  <c r="E61" i="21"/>
  <c r="F61" i="21" s="1"/>
  <c r="A61" i="21"/>
  <c r="E60" i="21"/>
  <c r="F60" i="21" s="1"/>
  <c r="A60" i="21"/>
  <c r="E59" i="21"/>
  <c r="F59" i="21" s="1"/>
  <c r="A59" i="21"/>
  <c r="E58" i="21"/>
  <c r="F58" i="21" s="1"/>
  <c r="A58" i="21"/>
  <c r="E57" i="21"/>
  <c r="A57" i="21"/>
  <c r="E56" i="21"/>
  <c r="A56" i="21"/>
  <c r="E55" i="21"/>
  <c r="A55" i="21"/>
  <c r="E54" i="21"/>
  <c r="A54" i="21"/>
  <c r="E53" i="21"/>
  <c r="A53" i="21"/>
  <c r="E52" i="21"/>
  <c r="F52" i="21" s="1"/>
  <c r="A52" i="21"/>
  <c r="E51" i="21"/>
  <c r="A51" i="21"/>
  <c r="E50" i="21"/>
  <c r="A50" i="21"/>
  <c r="E49" i="21"/>
  <c r="A49" i="21"/>
  <c r="E48" i="21"/>
  <c r="A48" i="21"/>
  <c r="E47" i="21"/>
  <c r="A47" i="21"/>
  <c r="E46" i="21"/>
  <c r="A46" i="21"/>
  <c r="E37" i="21"/>
  <c r="F37" i="21" s="1"/>
  <c r="G37" i="21" s="1"/>
  <c r="A37" i="21"/>
  <c r="E36" i="21"/>
  <c r="F36" i="21" s="1"/>
  <c r="G36" i="21" s="1"/>
  <c r="A36" i="21"/>
  <c r="E35" i="21"/>
  <c r="F35" i="21" s="1"/>
  <c r="G35" i="21" s="1"/>
  <c r="A35" i="21"/>
  <c r="E34" i="21"/>
  <c r="F34" i="21" s="1"/>
  <c r="G34" i="21" s="1"/>
  <c r="A34" i="21"/>
  <c r="E33" i="21"/>
  <c r="A33" i="21"/>
  <c r="E32" i="21"/>
  <c r="F32" i="21" s="1"/>
  <c r="G32" i="21" s="1"/>
  <c r="A32" i="21"/>
  <c r="E31" i="21"/>
  <c r="A31" i="21"/>
  <c r="E30" i="21"/>
  <c r="A30" i="21"/>
  <c r="E29" i="21"/>
  <c r="A29" i="21"/>
  <c r="E28" i="21"/>
  <c r="A28" i="21"/>
  <c r="E27" i="21"/>
  <c r="A27" i="21"/>
  <c r="E26" i="21"/>
  <c r="A26" i="21"/>
  <c r="E25" i="21"/>
  <c r="A25" i="21"/>
  <c r="E24" i="21"/>
  <c r="A24" i="21"/>
  <c r="E23" i="21"/>
  <c r="A23" i="21"/>
  <c r="E22" i="21"/>
  <c r="F22" i="21" s="1"/>
  <c r="G22" i="21" s="1"/>
  <c r="A22" i="21"/>
  <c r="E21" i="21"/>
  <c r="F21" i="21" s="1"/>
  <c r="G21" i="21" s="1"/>
  <c r="A21" i="21"/>
  <c r="E20" i="21"/>
  <c r="F20" i="21" s="1"/>
  <c r="G20" i="21" s="1"/>
  <c r="A20" i="21"/>
  <c r="E19" i="21"/>
  <c r="F19" i="21" s="1"/>
  <c r="G19" i="21" s="1"/>
  <c r="A19" i="21"/>
  <c r="E18" i="21"/>
  <c r="F18" i="21" s="1"/>
  <c r="G18" i="21" s="1"/>
  <c r="A18" i="21"/>
  <c r="E17" i="21"/>
  <c r="A17" i="21"/>
  <c r="E16" i="21"/>
  <c r="A16" i="21"/>
  <c r="E15" i="21"/>
  <c r="F15" i="21" s="1"/>
  <c r="G15" i="21" s="1"/>
  <c r="A15" i="21"/>
  <c r="E14" i="21"/>
  <c r="A14" i="21"/>
  <c r="E110" i="20"/>
  <c r="F110" i="20" s="1"/>
  <c r="G110" i="20" s="1"/>
  <c r="H110" i="20" s="1"/>
  <c r="E109" i="20"/>
  <c r="F109" i="20" s="1"/>
  <c r="G109" i="20" s="1"/>
  <c r="H109" i="20" s="1"/>
  <c r="E108" i="20"/>
  <c r="F108" i="20" s="1"/>
  <c r="G108" i="20" s="1"/>
  <c r="H108" i="20" s="1"/>
  <c r="E107" i="20"/>
  <c r="F107" i="20" s="1"/>
  <c r="G107" i="20" s="1"/>
  <c r="H107" i="20" s="1"/>
  <c r="E106" i="20"/>
  <c r="F106" i="20" s="1"/>
  <c r="G106" i="20" s="1"/>
  <c r="H106" i="20" s="1"/>
  <c r="E105" i="20"/>
  <c r="F105" i="20" s="1"/>
  <c r="G105" i="20" s="1"/>
  <c r="H105" i="20" s="1"/>
  <c r="E104" i="20"/>
  <c r="F104" i="20" s="1"/>
  <c r="G104" i="20" s="1"/>
  <c r="H104" i="20" s="1"/>
  <c r="E103" i="20"/>
  <c r="F103" i="20" s="1"/>
  <c r="G103" i="20" s="1"/>
  <c r="H103" i="20" s="1"/>
  <c r="E102" i="20"/>
  <c r="F102" i="20" s="1"/>
  <c r="G102" i="20" s="1"/>
  <c r="H102" i="20" s="1"/>
  <c r="E101" i="20"/>
  <c r="F101" i="20" s="1"/>
  <c r="G101" i="20" s="1"/>
  <c r="H101" i="20" s="1"/>
  <c r="E100" i="20"/>
  <c r="F100" i="20" s="1"/>
  <c r="G100" i="20" s="1"/>
  <c r="H100" i="20" s="1"/>
  <c r="E99" i="20"/>
  <c r="F99" i="20" s="1"/>
  <c r="G99" i="20" s="1"/>
  <c r="H99" i="20" s="1"/>
  <c r="E98" i="20"/>
  <c r="F98" i="20" s="1"/>
  <c r="G98" i="20" s="1"/>
  <c r="H98" i="20" s="1"/>
  <c r="E97" i="20"/>
  <c r="F97" i="20" s="1"/>
  <c r="G97" i="20" s="1"/>
  <c r="H97" i="20" s="1"/>
  <c r="E96" i="20"/>
  <c r="F96" i="20" s="1"/>
  <c r="G96" i="20" s="1"/>
  <c r="H96" i="20" s="1"/>
  <c r="E95" i="20"/>
  <c r="F95" i="20" s="1"/>
  <c r="G95" i="20" s="1"/>
  <c r="H95" i="20" s="1"/>
  <c r="E94" i="20"/>
  <c r="F94" i="20" s="1"/>
  <c r="G94" i="20" s="1"/>
  <c r="H94" i="20" s="1"/>
  <c r="E93" i="20"/>
  <c r="F93" i="20" s="1"/>
  <c r="G93" i="20" s="1"/>
  <c r="H93" i="20" s="1"/>
  <c r="E92" i="20"/>
  <c r="F92" i="20" s="1"/>
  <c r="G92" i="20" s="1"/>
  <c r="H92" i="20" s="1"/>
  <c r="E91" i="20"/>
  <c r="F91" i="20" s="1"/>
  <c r="G91" i="20" s="1"/>
  <c r="H91" i="20" s="1"/>
  <c r="E90" i="20"/>
  <c r="F90" i="20" s="1"/>
  <c r="G90" i="20" s="1"/>
  <c r="H90" i="20" s="1"/>
  <c r="E89" i="20"/>
  <c r="F89" i="20" s="1"/>
  <c r="G89" i="20" s="1"/>
  <c r="H89" i="20" s="1"/>
  <c r="E88" i="20"/>
  <c r="F88" i="20" s="1"/>
  <c r="G88" i="20" s="1"/>
  <c r="H88" i="20" s="1"/>
  <c r="B88" i="20"/>
  <c r="B89" i="20" s="1"/>
  <c r="A89" i="20" s="1"/>
  <c r="A88" i="20"/>
  <c r="E87" i="20"/>
  <c r="F87" i="20" s="1"/>
  <c r="G87" i="20" s="1"/>
  <c r="H87" i="20" s="1"/>
  <c r="A87" i="20"/>
  <c r="E86" i="20"/>
  <c r="F86" i="20" s="1"/>
  <c r="G86" i="20" s="1"/>
  <c r="H86" i="20" s="1"/>
  <c r="A86" i="20"/>
  <c r="E85" i="20"/>
  <c r="F85" i="20" s="1"/>
  <c r="G85" i="20" s="1"/>
  <c r="H85" i="20" s="1"/>
  <c r="A85" i="20"/>
  <c r="E84" i="20"/>
  <c r="F84" i="20" s="1"/>
  <c r="G84" i="20" s="1"/>
  <c r="H84" i="20" s="1"/>
  <c r="A84" i="20"/>
  <c r="E83" i="20"/>
  <c r="F83" i="20" s="1"/>
  <c r="G83" i="20" s="1"/>
  <c r="H83" i="20" s="1"/>
  <c r="A83" i="20"/>
  <c r="E82" i="20"/>
  <c r="F82" i="20" s="1"/>
  <c r="G82" i="20" s="1"/>
  <c r="H82" i="20" s="1"/>
  <c r="A82" i="20"/>
  <c r="E81" i="20"/>
  <c r="F81" i="20" s="1"/>
  <c r="G81" i="20" s="1"/>
  <c r="H81" i="20" s="1"/>
  <c r="A81" i="20"/>
  <c r="E80" i="20"/>
  <c r="F80" i="20" s="1"/>
  <c r="G80" i="20" s="1"/>
  <c r="H80" i="20" s="1"/>
  <c r="A80" i="20"/>
  <c r="E79" i="20"/>
  <c r="F79" i="20" s="1"/>
  <c r="G79" i="20" s="1"/>
  <c r="H79" i="20" s="1"/>
  <c r="A79" i="20"/>
  <c r="E78" i="20"/>
  <c r="F78" i="20" s="1"/>
  <c r="G78" i="20" s="1"/>
  <c r="H78" i="20" s="1"/>
  <c r="A78" i="20"/>
  <c r="E77" i="20"/>
  <c r="F77" i="20" s="1"/>
  <c r="G77" i="20" s="1"/>
  <c r="H77" i="20" s="1"/>
  <c r="A77" i="20"/>
  <c r="E76" i="20"/>
  <c r="F76" i="20" s="1"/>
  <c r="G76" i="20" s="1"/>
  <c r="H76" i="20" s="1"/>
  <c r="A76" i="20"/>
  <c r="E75" i="20"/>
  <c r="F75" i="20" s="1"/>
  <c r="G75" i="20" s="1"/>
  <c r="H75" i="20" s="1"/>
  <c r="A75" i="20"/>
  <c r="E74" i="20"/>
  <c r="F74" i="20" s="1"/>
  <c r="G74" i="20" s="1"/>
  <c r="H74" i="20" s="1"/>
  <c r="A74" i="20"/>
  <c r="E73" i="20"/>
  <c r="F73" i="20" s="1"/>
  <c r="G73" i="20" s="1"/>
  <c r="H73" i="20" s="1"/>
  <c r="A73" i="20"/>
  <c r="E72" i="20"/>
  <c r="F72" i="20" s="1"/>
  <c r="G72" i="20" s="1"/>
  <c r="H72" i="20" s="1"/>
  <c r="A72" i="20"/>
  <c r="E71" i="20"/>
  <c r="F71" i="20" s="1"/>
  <c r="G71" i="20" s="1"/>
  <c r="H71" i="20" s="1"/>
  <c r="A71" i="20"/>
  <c r="E70" i="20"/>
  <c r="F70" i="20" s="1"/>
  <c r="G70" i="20" s="1"/>
  <c r="H70" i="20" s="1"/>
  <c r="A70" i="20"/>
  <c r="E69" i="20"/>
  <c r="F69" i="20" s="1"/>
  <c r="G69" i="20" s="1"/>
  <c r="H69" i="20" s="1"/>
  <c r="A69" i="20"/>
  <c r="E68" i="20"/>
  <c r="F68" i="20" s="1"/>
  <c r="G68" i="20" s="1"/>
  <c r="H68" i="20" s="1"/>
  <c r="A68" i="20"/>
  <c r="E67" i="20"/>
  <c r="F67" i="20" s="1"/>
  <c r="G67" i="20" s="1"/>
  <c r="H67" i="20" s="1"/>
  <c r="A67" i="20"/>
  <c r="E66" i="20"/>
  <c r="F66" i="20" s="1"/>
  <c r="G66" i="20" s="1"/>
  <c r="H66" i="20" s="1"/>
  <c r="A66" i="20"/>
  <c r="E65" i="20"/>
  <c r="F65" i="20" s="1"/>
  <c r="G65" i="20" s="1"/>
  <c r="H65" i="20" s="1"/>
  <c r="A65" i="20"/>
  <c r="E64" i="20"/>
  <c r="F64" i="20" s="1"/>
  <c r="G64" i="20" s="1"/>
  <c r="H64" i="20" s="1"/>
  <c r="A64" i="20"/>
  <c r="E60" i="20"/>
  <c r="F60" i="20" s="1"/>
  <c r="G60" i="20" s="1"/>
  <c r="H60" i="20" s="1"/>
  <c r="E59" i="20"/>
  <c r="F59" i="20" s="1"/>
  <c r="G59" i="20" s="1"/>
  <c r="H59" i="20" s="1"/>
  <c r="E58" i="20"/>
  <c r="F58" i="20" s="1"/>
  <c r="G58" i="20" s="1"/>
  <c r="H58" i="20" s="1"/>
  <c r="E57" i="20"/>
  <c r="F57" i="20" s="1"/>
  <c r="G57" i="20" s="1"/>
  <c r="H57" i="20" s="1"/>
  <c r="E56" i="20"/>
  <c r="F56" i="20" s="1"/>
  <c r="G56" i="20" s="1"/>
  <c r="H56" i="20" s="1"/>
  <c r="E55" i="20"/>
  <c r="F55" i="20" s="1"/>
  <c r="G55" i="20" s="1"/>
  <c r="H55" i="20" s="1"/>
  <c r="E54" i="20"/>
  <c r="F54" i="20" s="1"/>
  <c r="G54" i="20" s="1"/>
  <c r="H54" i="20" s="1"/>
  <c r="E53" i="20"/>
  <c r="F53" i="20" s="1"/>
  <c r="G53" i="20" s="1"/>
  <c r="H53" i="20" s="1"/>
  <c r="E52" i="20"/>
  <c r="F52" i="20" s="1"/>
  <c r="G52" i="20" s="1"/>
  <c r="H52" i="20" s="1"/>
  <c r="E51" i="20"/>
  <c r="F51" i="20" s="1"/>
  <c r="G51" i="20" s="1"/>
  <c r="H51" i="20" s="1"/>
  <c r="E50" i="20"/>
  <c r="F50" i="20" s="1"/>
  <c r="G50" i="20" s="1"/>
  <c r="H50" i="20" s="1"/>
  <c r="E49" i="20"/>
  <c r="F49" i="20" s="1"/>
  <c r="G49" i="20" s="1"/>
  <c r="H49" i="20" s="1"/>
  <c r="E48" i="20"/>
  <c r="F48" i="20" s="1"/>
  <c r="G48" i="20" s="1"/>
  <c r="H48" i="20" s="1"/>
  <c r="E47" i="20"/>
  <c r="F47" i="20" s="1"/>
  <c r="G47" i="20" s="1"/>
  <c r="H47" i="20" s="1"/>
  <c r="E46" i="20"/>
  <c r="F46" i="20" s="1"/>
  <c r="G46" i="20" s="1"/>
  <c r="H46" i="20" s="1"/>
  <c r="E45" i="20"/>
  <c r="F45" i="20" s="1"/>
  <c r="G45" i="20" s="1"/>
  <c r="H45" i="20" s="1"/>
  <c r="E44" i="20"/>
  <c r="F44" i="20" s="1"/>
  <c r="G44" i="20" s="1"/>
  <c r="H44" i="20" s="1"/>
  <c r="E43" i="20"/>
  <c r="F43" i="20" s="1"/>
  <c r="G43" i="20" s="1"/>
  <c r="H43" i="20" s="1"/>
  <c r="E42" i="20"/>
  <c r="F42" i="20" s="1"/>
  <c r="G42" i="20" s="1"/>
  <c r="H42" i="20" s="1"/>
  <c r="E41" i="20"/>
  <c r="F41" i="20" s="1"/>
  <c r="G41" i="20" s="1"/>
  <c r="H41" i="20" s="1"/>
  <c r="E40" i="20"/>
  <c r="F40" i="20" s="1"/>
  <c r="G40" i="20" s="1"/>
  <c r="H40" i="20" s="1"/>
  <c r="E39" i="20"/>
  <c r="F39" i="20" s="1"/>
  <c r="G39" i="20" s="1"/>
  <c r="H39" i="20" s="1"/>
  <c r="E38" i="20"/>
  <c r="F38" i="20" s="1"/>
  <c r="G38" i="20" s="1"/>
  <c r="H38" i="20" s="1"/>
  <c r="B38" i="20"/>
  <c r="E37" i="20"/>
  <c r="F37" i="20" s="1"/>
  <c r="G37" i="20" s="1"/>
  <c r="H37" i="20" s="1"/>
  <c r="A37" i="20"/>
  <c r="E36" i="20"/>
  <c r="F36" i="20" s="1"/>
  <c r="G36" i="20" s="1"/>
  <c r="H36" i="20" s="1"/>
  <c r="A36" i="20"/>
  <c r="E35" i="20"/>
  <c r="F35" i="20" s="1"/>
  <c r="G35" i="20" s="1"/>
  <c r="H35" i="20" s="1"/>
  <c r="A35" i="20"/>
  <c r="E34" i="20"/>
  <c r="F34" i="20" s="1"/>
  <c r="G34" i="20" s="1"/>
  <c r="H34" i="20" s="1"/>
  <c r="A34" i="20"/>
  <c r="E33" i="20"/>
  <c r="F33" i="20" s="1"/>
  <c r="G33" i="20" s="1"/>
  <c r="H33" i="20" s="1"/>
  <c r="A33" i="20"/>
  <c r="E32" i="20"/>
  <c r="F32" i="20" s="1"/>
  <c r="G32" i="20" s="1"/>
  <c r="H32" i="20" s="1"/>
  <c r="A32" i="20"/>
  <c r="E31" i="20"/>
  <c r="F31" i="20" s="1"/>
  <c r="G31" i="20" s="1"/>
  <c r="H31" i="20" s="1"/>
  <c r="A31" i="20"/>
  <c r="E30" i="20"/>
  <c r="F30" i="20" s="1"/>
  <c r="G30" i="20" s="1"/>
  <c r="H30" i="20" s="1"/>
  <c r="A30" i="20"/>
  <c r="E29" i="20"/>
  <c r="F29" i="20" s="1"/>
  <c r="G29" i="20" s="1"/>
  <c r="H29" i="20" s="1"/>
  <c r="A29" i="20"/>
  <c r="E28" i="20"/>
  <c r="F28" i="20" s="1"/>
  <c r="G28" i="20" s="1"/>
  <c r="H28" i="20" s="1"/>
  <c r="A28" i="20"/>
  <c r="E27" i="20"/>
  <c r="F27" i="20" s="1"/>
  <c r="G27" i="20" s="1"/>
  <c r="H27" i="20" s="1"/>
  <c r="A27" i="20"/>
  <c r="E26" i="20"/>
  <c r="F26" i="20" s="1"/>
  <c r="G26" i="20" s="1"/>
  <c r="H26" i="20" s="1"/>
  <c r="A26" i="20"/>
  <c r="F25" i="20"/>
  <c r="G25" i="20" s="1"/>
  <c r="H25" i="20" s="1"/>
  <c r="E25" i="20"/>
  <c r="A25" i="20"/>
  <c r="E24" i="20"/>
  <c r="F24" i="20" s="1"/>
  <c r="G24" i="20" s="1"/>
  <c r="H24" i="20" s="1"/>
  <c r="A24" i="20"/>
  <c r="E23" i="20"/>
  <c r="F23" i="20" s="1"/>
  <c r="G23" i="20" s="1"/>
  <c r="H23" i="20" s="1"/>
  <c r="A23" i="20"/>
  <c r="E22" i="20"/>
  <c r="F22" i="20" s="1"/>
  <c r="G22" i="20" s="1"/>
  <c r="H22" i="20" s="1"/>
  <c r="A22" i="20"/>
  <c r="E21" i="20"/>
  <c r="F21" i="20" s="1"/>
  <c r="G21" i="20" s="1"/>
  <c r="H21" i="20" s="1"/>
  <c r="A21" i="20"/>
  <c r="E20" i="20"/>
  <c r="F20" i="20" s="1"/>
  <c r="G20" i="20" s="1"/>
  <c r="H20" i="20" s="1"/>
  <c r="A20" i="20"/>
  <c r="E19" i="20"/>
  <c r="F19" i="20" s="1"/>
  <c r="G19" i="20" s="1"/>
  <c r="H19" i="20" s="1"/>
  <c r="A19" i="20"/>
  <c r="E18" i="20"/>
  <c r="F18" i="20" s="1"/>
  <c r="G18" i="20" s="1"/>
  <c r="H18" i="20" s="1"/>
  <c r="A18" i="20"/>
  <c r="E17" i="20"/>
  <c r="F17" i="20" s="1"/>
  <c r="G17" i="20" s="1"/>
  <c r="H17" i="20" s="1"/>
  <c r="A17" i="20"/>
  <c r="E16" i="20"/>
  <c r="F16" i="20" s="1"/>
  <c r="G16" i="20" s="1"/>
  <c r="H16" i="20" s="1"/>
  <c r="A16" i="20"/>
  <c r="E15" i="20"/>
  <c r="F15" i="20" s="1"/>
  <c r="G15" i="20" s="1"/>
  <c r="H15" i="20" s="1"/>
  <c r="A15" i="20"/>
  <c r="H14" i="20"/>
  <c r="F14" i="20"/>
  <c r="G14" i="20" s="1"/>
  <c r="E14" i="20"/>
  <c r="A14" i="20"/>
  <c r="F89" i="19"/>
  <c r="F90" i="19"/>
  <c r="G90" i="19" s="1"/>
  <c r="H90" i="19" s="1"/>
  <c r="F91" i="19"/>
  <c r="G91" i="19" s="1"/>
  <c r="H91" i="19" s="1"/>
  <c r="F92" i="19"/>
  <c r="G92" i="19" s="1"/>
  <c r="H92" i="19" s="1"/>
  <c r="F93" i="19"/>
  <c r="G93" i="19" s="1"/>
  <c r="H93" i="19" s="1"/>
  <c r="F94" i="19"/>
  <c r="G94" i="19" s="1"/>
  <c r="H94" i="19" s="1"/>
  <c r="F95" i="19"/>
  <c r="G95" i="19" s="1"/>
  <c r="H95" i="19" s="1"/>
  <c r="F96" i="19"/>
  <c r="G96" i="19" s="1"/>
  <c r="H96" i="19" s="1"/>
  <c r="F97" i="19"/>
  <c r="F98" i="19"/>
  <c r="F99" i="19"/>
  <c r="F100" i="19"/>
  <c r="F101" i="19"/>
  <c r="F102" i="19"/>
  <c r="F103" i="19"/>
  <c r="F104" i="19"/>
  <c r="F105" i="19"/>
  <c r="F106" i="19"/>
  <c r="F107" i="19"/>
  <c r="G107" i="19" s="1"/>
  <c r="H107" i="19" s="1"/>
  <c r="F108" i="19"/>
  <c r="G108" i="19" s="1"/>
  <c r="H108" i="19" s="1"/>
  <c r="F109" i="19"/>
  <c r="G109" i="19" s="1"/>
  <c r="H109" i="19" s="1"/>
  <c r="F110" i="19"/>
  <c r="G110" i="19" s="1"/>
  <c r="H110" i="19" s="1"/>
  <c r="F88" i="19"/>
  <c r="H89" i="19"/>
  <c r="H97" i="19"/>
  <c r="G88" i="19"/>
  <c r="H88" i="19" s="1"/>
  <c r="G89" i="19"/>
  <c r="G97" i="19"/>
  <c r="G98" i="19"/>
  <c r="H98" i="19" s="1"/>
  <c r="G99" i="19"/>
  <c r="H99" i="19" s="1"/>
  <c r="G100" i="19"/>
  <c r="H100" i="19" s="1"/>
  <c r="G101" i="19"/>
  <c r="H101" i="19" s="1"/>
  <c r="G102" i="19"/>
  <c r="H102" i="19" s="1"/>
  <c r="G103" i="19"/>
  <c r="H103" i="19" s="1"/>
  <c r="G104" i="19"/>
  <c r="H104" i="19" s="1"/>
  <c r="G105" i="19"/>
  <c r="H105" i="19" s="1"/>
  <c r="G106" i="19"/>
  <c r="H106" i="19" s="1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B89" i="19"/>
  <c r="B90" i="19"/>
  <c r="B91" i="19" s="1"/>
  <c r="B92" i="19" s="1"/>
  <c r="B93" i="19" s="1"/>
  <c r="B94" i="19" s="1"/>
  <c r="B95" i="19" s="1"/>
  <c r="B96" i="19" s="1"/>
  <c r="B97" i="19" s="1"/>
  <c r="B98" i="19" s="1"/>
  <c r="B99" i="19" s="1"/>
  <c r="B100" i="19" s="1"/>
  <c r="B101" i="19" s="1"/>
  <c r="B102" i="19" s="1"/>
  <c r="B103" i="19" s="1"/>
  <c r="B104" i="19" s="1"/>
  <c r="B105" i="19" s="1"/>
  <c r="B106" i="19" s="1"/>
  <c r="B107" i="19" s="1"/>
  <c r="B108" i="19" s="1"/>
  <c r="B109" i="19" s="1"/>
  <c r="B110" i="19" s="1"/>
  <c r="B88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G58" i="19" s="1"/>
  <c r="H58" i="19" s="1"/>
  <c r="F59" i="19"/>
  <c r="G59" i="19" s="1"/>
  <c r="H59" i="19" s="1"/>
  <c r="F60" i="19"/>
  <c r="G60" i="19" s="1"/>
  <c r="H60" i="19" s="1"/>
  <c r="F39" i="19"/>
  <c r="H38" i="19"/>
  <c r="H40" i="19"/>
  <c r="H41" i="19"/>
  <c r="H42" i="19"/>
  <c r="H43" i="19"/>
  <c r="H44" i="19"/>
  <c r="H45" i="19"/>
  <c r="H46" i="19"/>
  <c r="H47" i="19"/>
  <c r="H48" i="19"/>
  <c r="G38" i="19"/>
  <c r="G39" i="19"/>
  <c r="H39" i="19" s="1"/>
  <c r="G40" i="19"/>
  <c r="G41" i="19"/>
  <c r="G42" i="19"/>
  <c r="G43" i="19"/>
  <c r="G44" i="19"/>
  <c r="G45" i="19"/>
  <c r="G46" i="19"/>
  <c r="G47" i="19"/>
  <c r="G48" i="19"/>
  <c r="G49" i="19"/>
  <c r="H49" i="19" s="1"/>
  <c r="G50" i="19"/>
  <c r="H50" i="19" s="1"/>
  <c r="G51" i="19"/>
  <c r="H51" i="19" s="1"/>
  <c r="G52" i="19"/>
  <c r="H52" i="19" s="1"/>
  <c r="G53" i="19"/>
  <c r="H53" i="19" s="1"/>
  <c r="G54" i="19"/>
  <c r="H54" i="19" s="1"/>
  <c r="G55" i="19"/>
  <c r="H55" i="19" s="1"/>
  <c r="G56" i="19"/>
  <c r="H56" i="19" s="1"/>
  <c r="G57" i="19"/>
  <c r="H57" i="19" s="1"/>
  <c r="F38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B39" i="19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B38" i="19"/>
  <c r="E87" i="19"/>
  <c r="F87" i="19" s="1"/>
  <c r="G87" i="19" s="1"/>
  <c r="H87" i="19" s="1"/>
  <c r="A87" i="19"/>
  <c r="E86" i="19"/>
  <c r="F86" i="19" s="1"/>
  <c r="G86" i="19" s="1"/>
  <c r="H86" i="19" s="1"/>
  <c r="A86" i="19"/>
  <c r="E85" i="19"/>
  <c r="F85" i="19" s="1"/>
  <c r="G85" i="19" s="1"/>
  <c r="H85" i="19" s="1"/>
  <c r="A85" i="19"/>
  <c r="E84" i="19"/>
  <c r="F84" i="19" s="1"/>
  <c r="G84" i="19" s="1"/>
  <c r="H84" i="19" s="1"/>
  <c r="A84" i="19"/>
  <c r="E83" i="19"/>
  <c r="F83" i="19" s="1"/>
  <c r="G83" i="19" s="1"/>
  <c r="H83" i="19" s="1"/>
  <c r="A83" i="19"/>
  <c r="E82" i="19"/>
  <c r="F82" i="19" s="1"/>
  <c r="G82" i="19" s="1"/>
  <c r="H82" i="19" s="1"/>
  <c r="A82" i="19"/>
  <c r="F81" i="19"/>
  <c r="G81" i="19" s="1"/>
  <c r="H81" i="19" s="1"/>
  <c r="E81" i="19"/>
  <c r="A81" i="19"/>
  <c r="E80" i="19"/>
  <c r="F80" i="19" s="1"/>
  <c r="G80" i="19" s="1"/>
  <c r="H80" i="19" s="1"/>
  <c r="A80" i="19"/>
  <c r="F79" i="19"/>
  <c r="G79" i="19" s="1"/>
  <c r="H79" i="19" s="1"/>
  <c r="E79" i="19"/>
  <c r="A79" i="19"/>
  <c r="E78" i="19"/>
  <c r="F78" i="19" s="1"/>
  <c r="G78" i="19" s="1"/>
  <c r="H78" i="19" s="1"/>
  <c r="A78" i="19"/>
  <c r="E77" i="19"/>
  <c r="F77" i="19" s="1"/>
  <c r="G77" i="19" s="1"/>
  <c r="H77" i="19" s="1"/>
  <c r="A77" i="19"/>
  <c r="E76" i="19"/>
  <c r="F76" i="19" s="1"/>
  <c r="G76" i="19" s="1"/>
  <c r="H76" i="19" s="1"/>
  <c r="A76" i="19"/>
  <c r="E75" i="19"/>
  <c r="F75" i="19" s="1"/>
  <c r="G75" i="19" s="1"/>
  <c r="H75" i="19" s="1"/>
  <c r="A75" i="19"/>
  <c r="E74" i="19"/>
  <c r="F74" i="19" s="1"/>
  <c r="G74" i="19" s="1"/>
  <c r="H74" i="19" s="1"/>
  <c r="A74" i="19"/>
  <c r="E73" i="19"/>
  <c r="F73" i="19" s="1"/>
  <c r="G73" i="19" s="1"/>
  <c r="H73" i="19" s="1"/>
  <c r="A73" i="19"/>
  <c r="F72" i="19"/>
  <c r="G72" i="19" s="1"/>
  <c r="H72" i="19" s="1"/>
  <c r="E72" i="19"/>
  <c r="A72" i="19"/>
  <c r="F71" i="19"/>
  <c r="G71" i="19" s="1"/>
  <c r="H71" i="19" s="1"/>
  <c r="E71" i="19"/>
  <c r="A71" i="19"/>
  <c r="E70" i="19"/>
  <c r="F70" i="19" s="1"/>
  <c r="G70" i="19" s="1"/>
  <c r="H70" i="19" s="1"/>
  <c r="A70" i="19"/>
  <c r="E69" i="19"/>
  <c r="F69" i="19" s="1"/>
  <c r="G69" i="19" s="1"/>
  <c r="H69" i="19" s="1"/>
  <c r="A69" i="19"/>
  <c r="E68" i="19"/>
  <c r="F68" i="19" s="1"/>
  <c r="G68" i="19" s="1"/>
  <c r="H68" i="19" s="1"/>
  <c r="A68" i="19"/>
  <c r="E67" i="19"/>
  <c r="F67" i="19" s="1"/>
  <c r="G67" i="19" s="1"/>
  <c r="H67" i="19" s="1"/>
  <c r="A67" i="19"/>
  <c r="E66" i="19"/>
  <c r="F66" i="19" s="1"/>
  <c r="G66" i="19" s="1"/>
  <c r="H66" i="19" s="1"/>
  <c r="A66" i="19"/>
  <c r="E65" i="19"/>
  <c r="F65" i="19" s="1"/>
  <c r="G65" i="19" s="1"/>
  <c r="H65" i="19" s="1"/>
  <c r="A65" i="19"/>
  <c r="E64" i="19"/>
  <c r="F64" i="19" s="1"/>
  <c r="G64" i="19" s="1"/>
  <c r="H64" i="19" s="1"/>
  <c r="A64" i="19"/>
  <c r="E37" i="19"/>
  <c r="F37" i="19" s="1"/>
  <c r="G37" i="19" s="1"/>
  <c r="H37" i="19" s="1"/>
  <c r="A37" i="19"/>
  <c r="E36" i="19"/>
  <c r="F36" i="19" s="1"/>
  <c r="G36" i="19" s="1"/>
  <c r="H36" i="19" s="1"/>
  <c r="A36" i="19"/>
  <c r="F35" i="19"/>
  <c r="G35" i="19" s="1"/>
  <c r="H35" i="19" s="1"/>
  <c r="E35" i="19"/>
  <c r="A35" i="19"/>
  <c r="F34" i="19"/>
  <c r="G34" i="19" s="1"/>
  <c r="H34" i="19" s="1"/>
  <c r="E34" i="19"/>
  <c r="A34" i="19"/>
  <c r="E33" i="19"/>
  <c r="F33" i="19" s="1"/>
  <c r="G33" i="19" s="1"/>
  <c r="H33" i="19" s="1"/>
  <c r="A33" i="19"/>
  <c r="E32" i="19"/>
  <c r="F32" i="19" s="1"/>
  <c r="G32" i="19" s="1"/>
  <c r="H32" i="19" s="1"/>
  <c r="A32" i="19"/>
  <c r="E31" i="19"/>
  <c r="F31" i="19" s="1"/>
  <c r="G31" i="19" s="1"/>
  <c r="H31" i="19" s="1"/>
  <c r="A31" i="19"/>
  <c r="E30" i="19"/>
  <c r="F30" i="19" s="1"/>
  <c r="G30" i="19" s="1"/>
  <c r="H30" i="19" s="1"/>
  <c r="A30" i="19"/>
  <c r="E29" i="19"/>
  <c r="F29" i="19" s="1"/>
  <c r="G29" i="19" s="1"/>
  <c r="H29" i="19" s="1"/>
  <c r="A29" i="19"/>
  <c r="E28" i="19"/>
  <c r="F28" i="19" s="1"/>
  <c r="G28" i="19" s="1"/>
  <c r="H28" i="19" s="1"/>
  <c r="A28" i="19"/>
  <c r="E27" i="19"/>
  <c r="F27" i="19" s="1"/>
  <c r="G27" i="19" s="1"/>
  <c r="H27" i="19" s="1"/>
  <c r="A27" i="19"/>
  <c r="E26" i="19"/>
  <c r="F26" i="19" s="1"/>
  <c r="G26" i="19" s="1"/>
  <c r="H26" i="19" s="1"/>
  <c r="A26" i="19"/>
  <c r="E25" i="19"/>
  <c r="F25" i="19" s="1"/>
  <c r="G25" i="19" s="1"/>
  <c r="H25" i="19" s="1"/>
  <c r="A25" i="19"/>
  <c r="E24" i="19"/>
  <c r="F24" i="19" s="1"/>
  <c r="G24" i="19" s="1"/>
  <c r="H24" i="19" s="1"/>
  <c r="A24" i="19"/>
  <c r="E23" i="19"/>
  <c r="F23" i="19" s="1"/>
  <c r="G23" i="19" s="1"/>
  <c r="H23" i="19" s="1"/>
  <c r="A23" i="19"/>
  <c r="E22" i="19"/>
  <c r="F22" i="19" s="1"/>
  <c r="G22" i="19" s="1"/>
  <c r="H22" i="19" s="1"/>
  <c r="A22" i="19"/>
  <c r="E21" i="19"/>
  <c r="F21" i="19" s="1"/>
  <c r="G21" i="19" s="1"/>
  <c r="H21" i="19" s="1"/>
  <c r="A21" i="19"/>
  <c r="E20" i="19"/>
  <c r="F20" i="19" s="1"/>
  <c r="G20" i="19" s="1"/>
  <c r="H20" i="19" s="1"/>
  <c r="A20" i="19"/>
  <c r="E19" i="19"/>
  <c r="F19" i="19" s="1"/>
  <c r="G19" i="19" s="1"/>
  <c r="H19" i="19" s="1"/>
  <c r="A19" i="19"/>
  <c r="E18" i="19"/>
  <c r="F18" i="19" s="1"/>
  <c r="G18" i="19" s="1"/>
  <c r="H18" i="19" s="1"/>
  <c r="A18" i="19"/>
  <c r="E17" i="19"/>
  <c r="F17" i="19" s="1"/>
  <c r="G17" i="19" s="1"/>
  <c r="H17" i="19" s="1"/>
  <c r="A17" i="19"/>
  <c r="E16" i="19"/>
  <c r="F16" i="19" s="1"/>
  <c r="G16" i="19" s="1"/>
  <c r="H16" i="19" s="1"/>
  <c r="A16" i="19"/>
  <c r="E15" i="19"/>
  <c r="F15" i="19" s="1"/>
  <c r="G15" i="19" s="1"/>
  <c r="H15" i="19" s="1"/>
  <c r="A15" i="19"/>
  <c r="F14" i="19"/>
  <c r="G14" i="19" s="1"/>
  <c r="H14" i="19" s="1"/>
  <c r="E14" i="19"/>
  <c r="A14" i="19"/>
  <c r="E68" i="18"/>
  <c r="F68" i="18" s="1"/>
  <c r="G68" i="18" s="1"/>
  <c r="H68" i="18" s="1"/>
  <c r="A68" i="18"/>
  <c r="E67" i="18"/>
  <c r="F67" i="18" s="1"/>
  <c r="G67" i="18" s="1"/>
  <c r="H67" i="18" s="1"/>
  <c r="A67" i="18"/>
  <c r="E66" i="18"/>
  <c r="F66" i="18" s="1"/>
  <c r="G66" i="18" s="1"/>
  <c r="H66" i="18" s="1"/>
  <c r="A66" i="18"/>
  <c r="E65" i="18"/>
  <c r="F65" i="18" s="1"/>
  <c r="G65" i="18" s="1"/>
  <c r="H65" i="18" s="1"/>
  <c r="A65" i="18"/>
  <c r="E64" i="18"/>
  <c r="F64" i="18" s="1"/>
  <c r="G64" i="18" s="1"/>
  <c r="H64" i="18" s="1"/>
  <c r="A64" i="18"/>
  <c r="E63" i="18"/>
  <c r="F63" i="18" s="1"/>
  <c r="G63" i="18" s="1"/>
  <c r="H63" i="18" s="1"/>
  <c r="A63" i="18"/>
  <c r="E62" i="18"/>
  <c r="F62" i="18" s="1"/>
  <c r="G62" i="18" s="1"/>
  <c r="H62" i="18" s="1"/>
  <c r="A62" i="18"/>
  <c r="E61" i="18"/>
  <c r="F61" i="18" s="1"/>
  <c r="G61" i="18" s="1"/>
  <c r="H61" i="18" s="1"/>
  <c r="A61" i="18"/>
  <c r="E60" i="18"/>
  <c r="F60" i="18" s="1"/>
  <c r="G60" i="18" s="1"/>
  <c r="H60" i="18" s="1"/>
  <c r="A60" i="18"/>
  <c r="E59" i="18"/>
  <c r="F59" i="18" s="1"/>
  <c r="G59" i="18" s="1"/>
  <c r="H59" i="18" s="1"/>
  <c r="A59" i="18"/>
  <c r="E58" i="18"/>
  <c r="F58" i="18" s="1"/>
  <c r="G58" i="18" s="1"/>
  <c r="H58" i="18" s="1"/>
  <c r="A58" i="18"/>
  <c r="E57" i="18"/>
  <c r="F57" i="18" s="1"/>
  <c r="G57" i="18" s="1"/>
  <c r="H57" i="18" s="1"/>
  <c r="A57" i="18"/>
  <c r="E56" i="18"/>
  <c r="F56" i="18" s="1"/>
  <c r="G56" i="18" s="1"/>
  <c r="H56" i="18" s="1"/>
  <c r="A56" i="18"/>
  <c r="E55" i="18"/>
  <c r="F55" i="18" s="1"/>
  <c r="G55" i="18" s="1"/>
  <c r="H55" i="18" s="1"/>
  <c r="A55" i="18"/>
  <c r="E54" i="18"/>
  <c r="F54" i="18" s="1"/>
  <c r="G54" i="18" s="1"/>
  <c r="H54" i="18" s="1"/>
  <c r="A54" i="18"/>
  <c r="E53" i="18"/>
  <c r="F53" i="18" s="1"/>
  <c r="G53" i="18" s="1"/>
  <c r="H53" i="18" s="1"/>
  <c r="A53" i="18"/>
  <c r="E52" i="18"/>
  <c r="F52" i="18" s="1"/>
  <c r="G52" i="18" s="1"/>
  <c r="H52" i="18" s="1"/>
  <c r="A52" i="18"/>
  <c r="E51" i="18"/>
  <c r="F51" i="18" s="1"/>
  <c r="G51" i="18" s="1"/>
  <c r="H51" i="18" s="1"/>
  <c r="A51" i="18"/>
  <c r="E50" i="18"/>
  <c r="F50" i="18" s="1"/>
  <c r="G50" i="18" s="1"/>
  <c r="H50" i="18" s="1"/>
  <c r="A50" i="18"/>
  <c r="E49" i="18"/>
  <c r="F49" i="18" s="1"/>
  <c r="G49" i="18" s="1"/>
  <c r="H49" i="18" s="1"/>
  <c r="A49" i="18"/>
  <c r="E48" i="18"/>
  <c r="F48" i="18" s="1"/>
  <c r="G48" i="18" s="1"/>
  <c r="H48" i="18" s="1"/>
  <c r="A48" i="18"/>
  <c r="E47" i="18"/>
  <c r="F47" i="18" s="1"/>
  <c r="G47" i="18" s="1"/>
  <c r="H47" i="18" s="1"/>
  <c r="A47" i="18"/>
  <c r="E46" i="18"/>
  <c r="F46" i="18" s="1"/>
  <c r="G46" i="18" s="1"/>
  <c r="H46" i="18" s="1"/>
  <c r="A46" i="18"/>
  <c r="E45" i="18"/>
  <c r="F45" i="18" s="1"/>
  <c r="G45" i="18" s="1"/>
  <c r="H45" i="18" s="1"/>
  <c r="A45" i="18"/>
  <c r="E37" i="18"/>
  <c r="F37" i="18" s="1"/>
  <c r="G37" i="18" s="1"/>
  <c r="H37" i="18" s="1"/>
  <c r="A37" i="18"/>
  <c r="E36" i="18"/>
  <c r="F36" i="18" s="1"/>
  <c r="G36" i="18" s="1"/>
  <c r="H36" i="18" s="1"/>
  <c r="A36" i="18"/>
  <c r="E35" i="18"/>
  <c r="F35" i="18" s="1"/>
  <c r="G35" i="18" s="1"/>
  <c r="H35" i="18" s="1"/>
  <c r="A35" i="18"/>
  <c r="E34" i="18"/>
  <c r="F34" i="18" s="1"/>
  <c r="G34" i="18" s="1"/>
  <c r="H34" i="18" s="1"/>
  <c r="A34" i="18"/>
  <c r="E33" i="18"/>
  <c r="F33" i="18" s="1"/>
  <c r="G33" i="18" s="1"/>
  <c r="H33" i="18" s="1"/>
  <c r="A33" i="18"/>
  <c r="E32" i="18"/>
  <c r="F32" i="18" s="1"/>
  <c r="G32" i="18" s="1"/>
  <c r="H32" i="18" s="1"/>
  <c r="A32" i="18"/>
  <c r="E31" i="18"/>
  <c r="F31" i="18" s="1"/>
  <c r="G31" i="18" s="1"/>
  <c r="H31" i="18" s="1"/>
  <c r="A31" i="18"/>
  <c r="E30" i="18"/>
  <c r="F30" i="18" s="1"/>
  <c r="G30" i="18" s="1"/>
  <c r="H30" i="18" s="1"/>
  <c r="A30" i="18"/>
  <c r="E29" i="18"/>
  <c r="F29" i="18" s="1"/>
  <c r="G29" i="18" s="1"/>
  <c r="H29" i="18" s="1"/>
  <c r="A29" i="18"/>
  <c r="E28" i="18"/>
  <c r="F28" i="18" s="1"/>
  <c r="G28" i="18" s="1"/>
  <c r="H28" i="18" s="1"/>
  <c r="A28" i="18"/>
  <c r="E27" i="18"/>
  <c r="F27" i="18" s="1"/>
  <c r="G27" i="18" s="1"/>
  <c r="H27" i="18" s="1"/>
  <c r="A27" i="18"/>
  <c r="E26" i="18"/>
  <c r="F26" i="18" s="1"/>
  <c r="G26" i="18" s="1"/>
  <c r="H26" i="18" s="1"/>
  <c r="A26" i="18"/>
  <c r="E25" i="18"/>
  <c r="F25" i="18" s="1"/>
  <c r="G25" i="18" s="1"/>
  <c r="H25" i="18" s="1"/>
  <c r="A25" i="18"/>
  <c r="E24" i="18"/>
  <c r="F24" i="18" s="1"/>
  <c r="G24" i="18" s="1"/>
  <c r="H24" i="18" s="1"/>
  <c r="A24" i="18"/>
  <c r="E23" i="18"/>
  <c r="F23" i="18" s="1"/>
  <c r="G23" i="18" s="1"/>
  <c r="H23" i="18" s="1"/>
  <c r="A23" i="18"/>
  <c r="E22" i="18"/>
  <c r="F22" i="18" s="1"/>
  <c r="G22" i="18" s="1"/>
  <c r="H22" i="18" s="1"/>
  <c r="A22" i="18"/>
  <c r="E21" i="18"/>
  <c r="F21" i="18" s="1"/>
  <c r="G21" i="18" s="1"/>
  <c r="H21" i="18" s="1"/>
  <c r="A21" i="18"/>
  <c r="E20" i="18"/>
  <c r="F20" i="18" s="1"/>
  <c r="G20" i="18" s="1"/>
  <c r="H20" i="18" s="1"/>
  <c r="A20" i="18"/>
  <c r="E19" i="18"/>
  <c r="F19" i="18" s="1"/>
  <c r="G19" i="18" s="1"/>
  <c r="H19" i="18" s="1"/>
  <c r="A19" i="18"/>
  <c r="E18" i="18"/>
  <c r="F18" i="18" s="1"/>
  <c r="G18" i="18" s="1"/>
  <c r="H18" i="18" s="1"/>
  <c r="A18" i="18"/>
  <c r="E17" i="18"/>
  <c r="F17" i="18" s="1"/>
  <c r="G17" i="18" s="1"/>
  <c r="H17" i="18" s="1"/>
  <c r="A17" i="18"/>
  <c r="E16" i="18"/>
  <c r="F16" i="18" s="1"/>
  <c r="G16" i="18" s="1"/>
  <c r="H16" i="18" s="1"/>
  <c r="A16" i="18"/>
  <c r="E15" i="18"/>
  <c r="F15" i="18" s="1"/>
  <c r="G15" i="18" s="1"/>
  <c r="H15" i="18" s="1"/>
  <c r="A15" i="18"/>
  <c r="F14" i="18"/>
  <c r="G14" i="18" s="1"/>
  <c r="H14" i="18" s="1"/>
  <c r="E14" i="18"/>
  <c r="A14" i="18"/>
  <c r="F68" i="17"/>
  <c r="G68" i="17" s="1"/>
  <c r="H68" i="17" s="1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G67" i="17"/>
  <c r="H67" i="17" s="1"/>
  <c r="F45" i="17"/>
  <c r="E67" i="17"/>
  <c r="E68" i="17"/>
  <c r="A67" i="17"/>
  <c r="A68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15" i="17"/>
  <c r="G36" i="17"/>
  <c r="H36" i="17" s="1"/>
  <c r="G37" i="17"/>
  <c r="H37" i="17" s="1"/>
  <c r="E36" i="17"/>
  <c r="E37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15" i="17"/>
  <c r="E66" i="17"/>
  <c r="A66" i="17"/>
  <c r="E65" i="17"/>
  <c r="A65" i="17"/>
  <c r="E64" i="17"/>
  <c r="A64" i="17"/>
  <c r="E63" i="17"/>
  <c r="A63" i="17"/>
  <c r="E62" i="17"/>
  <c r="A62" i="17"/>
  <c r="E61" i="17"/>
  <c r="A61" i="17"/>
  <c r="E60" i="17"/>
  <c r="A60" i="17"/>
  <c r="E59" i="17"/>
  <c r="A59" i="17"/>
  <c r="E58" i="17"/>
  <c r="A58" i="17"/>
  <c r="E57" i="17"/>
  <c r="A57" i="17"/>
  <c r="E56" i="17"/>
  <c r="A56" i="17"/>
  <c r="E55" i="17"/>
  <c r="A55" i="17"/>
  <c r="E54" i="17"/>
  <c r="A54" i="17"/>
  <c r="E53" i="17"/>
  <c r="A53" i="17"/>
  <c r="E52" i="17"/>
  <c r="A52" i="17"/>
  <c r="E51" i="17"/>
  <c r="A51" i="17"/>
  <c r="E50" i="17"/>
  <c r="A50" i="17"/>
  <c r="E49" i="17"/>
  <c r="A49" i="17"/>
  <c r="E48" i="17"/>
  <c r="G48" i="17" s="1"/>
  <c r="H48" i="17" s="1"/>
  <c r="A48" i="17"/>
  <c r="G47" i="17"/>
  <c r="H47" i="17" s="1"/>
  <c r="E47" i="17"/>
  <c r="A47" i="17"/>
  <c r="E46" i="17"/>
  <c r="A46" i="17"/>
  <c r="E45" i="17"/>
  <c r="G45" i="17" s="1"/>
  <c r="H45" i="17" s="1"/>
  <c r="A45" i="17"/>
  <c r="E35" i="17"/>
  <c r="E34" i="17"/>
  <c r="E33" i="17"/>
  <c r="E32" i="17"/>
  <c r="E31" i="17"/>
  <c r="E30" i="17"/>
  <c r="E29" i="17"/>
  <c r="E28" i="17"/>
  <c r="G28" i="17" s="1"/>
  <c r="H28" i="17" s="1"/>
  <c r="E27" i="17"/>
  <c r="G27" i="17" s="1"/>
  <c r="H27" i="17" s="1"/>
  <c r="E26" i="17"/>
  <c r="G26" i="17" s="1"/>
  <c r="H26" i="17" s="1"/>
  <c r="E25" i="17"/>
  <c r="G25" i="17" s="1"/>
  <c r="H25" i="17" s="1"/>
  <c r="E24" i="17"/>
  <c r="G24" i="17" s="1"/>
  <c r="H24" i="17" s="1"/>
  <c r="E23" i="17"/>
  <c r="G23" i="17" s="1"/>
  <c r="H23" i="17" s="1"/>
  <c r="E22" i="17"/>
  <c r="G22" i="17" s="1"/>
  <c r="H22" i="17" s="1"/>
  <c r="E21" i="17"/>
  <c r="G21" i="17" s="1"/>
  <c r="H21" i="17" s="1"/>
  <c r="E20" i="17"/>
  <c r="G20" i="17" s="1"/>
  <c r="H20" i="17" s="1"/>
  <c r="E19" i="17"/>
  <c r="G19" i="17" s="1"/>
  <c r="H19" i="17" s="1"/>
  <c r="E18" i="17"/>
  <c r="G18" i="17" s="1"/>
  <c r="H18" i="17" s="1"/>
  <c r="E17" i="17"/>
  <c r="G17" i="17" s="1"/>
  <c r="H17" i="17" s="1"/>
  <c r="E16" i="17"/>
  <c r="G16" i="17" s="1"/>
  <c r="H16" i="17" s="1"/>
  <c r="E15" i="17"/>
  <c r="G15" i="17" s="1"/>
  <c r="H15" i="17" s="1"/>
  <c r="F14" i="17"/>
  <c r="G14" i="17" s="1"/>
  <c r="H14" i="17" s="1"/>
  <c r="E14" i="17"/>
  <c r="A14" i="17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4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15" i="16"/>
  <c r="F14" i="16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45" i="15"/>
  <c r="G16" i="15"/>
  <c r="G17" i="15"/>
  <c r="G18" i="15"/>
  <c r="G19" i="15"/>
  <c r="G20" i="15"/>
  <c r="G21" i="15"/>
  <c r="G22" i="15"/>
  <c r="G23" i="15"/>
  <c r="G24" i="15"/>
  <c r="G25" i="15"/>
  <c r="G26" i="15"/>
  <c r="H26" i="15" s="1"/>
  <c r="G27" i="15"/>
  <c r="G28" i="15"/>
  <c r="G29" i="15"/>
  <c r="G30" i="15"/>
  <c r="H30" i="15" s="1"/>
  <c r="G31" i="15"/>
  <c r="G32" i="15"/>
  <c r="G33" i="15"/>
  <c r="G34" i="15"/>
  <c r="G35" i="15"/>
  <c r="G15" i="15"/>
  <c r="F16" i="15"/>
  <c r="F17" i="15"/>
  <c r="F18" i="15"/>
  <c r="F19" i="15"/>
  <c r="H19" i="15" s="1"/>
  <c r="F20" i="15"/>
  <c r="F21" i="15"/>
  <c r="H21" i="15" s="1"/>
  <c r="F22" i="15"/>
  <c r="F23" i="15"/>
  <c r="H23" i="15" s="1"/>
  <c r="F24" i="15"/>
  <c r="H24" i="15" s="1"/>
  <c r="F25" i="15"/>
  <c r="F26" i="15"/>
  <c r="F27" i="15"/>
  <c r="F28" i="15"/>
  <c r="H28" i="15" s="1"/>
  <c r="F29" i="15"/>
  <c r="F30" i="15"/>
  <c r="F31" i="15"/>
  <c r="F32" i="15"/>
  <c r="F33" i="15"/>
  <c r="F34" i="15"/>
  <c r="F35" i="15"/>
  <c r="F15" i="15"/>
  <c r="F14" i="15"/>
  <c r="B7" i="15"/>
  <c r="B6" i="15"/>
  <c r="B5" i="15"/>
  <c r="B4" i="15"/>
  <c r="H15" i="15"/>
  <c r="E66" i="16"/>
  <c r="A66" i="16"/>
  <c r="E65" i="16"/>
  <c r="H65" i="16" s="1"/>
  <c r="A65" i="16"/>
  <c r="E64" i="16"/>
  <c r="A64" i="16"/>
  <c r="E63" i="16"/>
  <c r="A63" i="16"/>
  <c r="E62" i="16"/>
  <c r="A62" i="16"/>
  <c r="E61" i="16"/>
  <c r="A61" i="16"/>
  <c r="E60" i="16"/>
  <c r="A60" i="16"/>
  <c r="E59" i="16"/>
  <c r="A59" i="16"/>
  <c r="E58" i="16"/>
  <c r="A58" i="16"/>
  <c r="E57" i="16"/>
  <c r="A57" i="16"/>
  <c r="E56" i="16"/>
  <c r="H56" i="16" s="1"/>
  <c r="A56" i="16"/>
  <c r="E55" i="16"/>
  <c r="H55" i="16" s="1"/>
  <c r="A55" i="16"/>
  <c r="E54" i="16"/>
  <c r="H54" i="16" s="1"/>
  <c r="A54" i="16"/>
  <c r="E53" i="16"/>
  <c r="H53" i="16" s="1"/>
  <c r="A53" i="16"/>
  <c r="E52" i="16"/>
  <c r="A52" i="16"/>
  <c r="E51" i="16"/>
  <c r="H51" i="16" s="1"/>
  <c r="A51" i="16"/>
  <c r="E50" i="16"/>
  <c r="H50" i="16" s="1"/>
  <c r="A50" i="16"/>
  <c r="E49" i="16"/>
  <c r="H49" i="16" s="1"/>
  <c r="A49" i="16"/>
  <c r="E48" i="16"/>
  <c r="A48" i="16"/>
  <c r="E47" i="16"/>
  <c r="H47" i="16" s="1"/>
  <c r="A47" i="16"/>
  <c r="E46" i="16"/>
  <c r="H46" i="16" s="1"/>
  <c r="A46" i="16"/>
  <c r="E45" i="16"/>
  <c r="H45" i="16" s="1"/>
  <c r="A45" i="16"/>
  <c r="E35" i="16"/>
  <c r="H35" i="16" s="1"/>
  <c r="A35" i="16"/>
  <c r="E34" i="16"/>
  <c r="A34" i="16"/>
  <c r="E33" i="16"/>
  <c r="A33" i="16"/>
  <c r="E32" i="16"/>
  <c r="A32" i="16"/>
  <c r="E31" i="16"/>
  <c r="A31" i="16"/>
  <c r="E30" i="16"/>
  <c r="A30" i="16"/>
  <c r="E29" i="16"/>
  <c r="A29" i="16"/>
  <c r="E28" i="16"/>
  <c r="A28" i="16"/>
  <c r="E27" i="16"/>
  <c r="H27" i="16" s="1"/>
  <c r="A27" i="16"/>
  <c r="E26" i="16"/>
  <c r="H26" i="16" s="1"/>
  <c r="A26" i="16"/>
  <c r="E25" i="16"/>
  <c r="A25" i="16"/>
  <c r="E24" i="16"/>
  <c r="H24" i="16" s="1"/>
  <c r="A24" i="16"/>
  <c r="E23" i="16"/>
  <c r="H23" i="16" s="1"/>
  <c r="A23" i="16"/>
  <c r="E22" i="16"/>
  <c r="A22" i="16"/>
  <c r="E21" i="16"/>
  <c r="H21" i="16" s="1"/>
  <c r="A21" i="16"/>
  <c r="E20" i="16"/>
  <c r="H20" i="16" s="1"/>
  <c r="A20" i="16"/>
  <c r="E19" i="16"/>
  <c r="H19" i="16" s="1"/>
  <c r="A19" i="16"/>
  <c r="E18" i="16"/>
  <c r="A18" i="16"/>
  <c r="E17" i="16"/>
  <c r="A17" i="16"/>
  <c r="E16" i="16"/>
  <c r="H16" i="16" s="1"/>
  <c r="A16" i="16"/>
  <c r="E15" i="16"/>
  <c r="H15" i="16" s="1"/>
  <c r="A15" i="16"/>
  <c r="E14" i="16"/>
  <c r="G14" i="16" s="1"/>
  <c r="H14" i="16" s="1"/>
  <c r="A14" i="16"/>
  <c r="E66" i="15"/>
  <c r="H66" i="15" s="1"/>
  <c r="A66" i="15"/>
  <c r="E65" i="15"/>
  <c r="A65" i="15"/>
  <c r="E64" i="15"/>
  <c r="A64" i="15"/>
  <c r="E63" i="15"/>
  <c r="H63" i="15" s="1"/>
  <c r="A63" i="15"/>
  <c r="E62" i="15"/>
  <c r="H62" i="15" s="1"/>
  <c r="A62" i="15"/>
  <c r="E61" i="15"/>
  <c r="H61" i="15" s="1"/>
  <c r="A61" i="15"/>
  <c r="E60" i="15"/>
  <c r="A60" i="15"/>
  <c r="E59" i="15"/>
  <c r="A59" i="15"/>
  <c r="E58" i="15"/>
  <c r="H58" i="15" s="1"/>
  <c r="A58" i="15"/>
  <c r="E57" i="15"/>
  <c r="A57" i="15"/>
  <c r="E56" i="15"/>
  <c r="H56" i="15" s="1"/>
  <c r="A56" i="15"/>
  <c r="E55" i="15"/>
  <c r="H55" i="15" s="1"/>
  <c r="A55" i="15"/>
  <c r="E54" i="15"/>
  <c r="A54" i="15"/>
  <c r="E53" i="15"/>
  <c r="H53" i="15" s="1"/>
  <c r="A53" i="15"/>
  <c r="E52" i="15"/>
  <c r="A52" i="15"/>
  <c r="E51" i="15"/>
  <c r="H51" i="15" s="1"/>
  <c r="A51" i="15"/>
  <c r="E50" i="15"/>
  <c r="H50" i="15" s="1"/>
  <c r="A50" i="15"/>
  <c r="E49" i="15"/>
  <c r="A49" i="15"/>
  <c r="E48" i="15"/>
  <c r="H48" i="15" s="1"/>
  <c r="A48" i="15"/>
  <c r="E47" i="15"/>
  <c r="H47" i="15" s="1"/>
  <c r="A47" i="15"/>
  <c r="E46" i="15"/>
  <c r="H46" i="15" s="1"/>
  <c r="A46" i="15"/>
  <c r="E45" i="15"/>
  <c r="H45" i="15" s="1"/>
  <c r="A45" i="15"/>
  <c r="H35" i="15"/>
  <c r="E35" i="15"/>
  <c r="A35" i="15"/>
  <c r="E34" i="15"/>
  <c r="A34" i="15"/>
  <c r="H33" i="15"/>
  <c r="E33" i="15"/>
  <c r="A33" i="15"/>
  <c r="H32" i="15"/>
  <c r="E32" i="15"/>
  <c r="A32" i="15"/>
  <c r="H31" i="15"/>
  <c r="E31" i="15"/>
  <c r="A31" i="15"/>
  <c r="E30" i="15"/>
  <c r="A30" i="15"/>
  <c r="E29" i="15"/>
  <c r="A29" i="15"/>
  <c r="E28" i="15"/>
  <c r="A28" i="15"/>
  <c r="H27" i="15"/>
  <c r="E27" i="15"/>
  <c r="A27" i="15"/>
  <c r="E26" i="15"/>
  <c r="A26" i="15"/>
  <c r="H25" i="15"/>
  <c r="E25" i="15"/>
  <c r="A25" i="15"/>
  <c r="E24" i="15"/>
  <c r="A24" i="15"/>
  <c r="E23" i="15"/>
  <c r="A23" i="15"/>
  <c r="H22" i="15"/>
  <c r="E22" i="15"/>
  <c r="A22" i="15"/>
  <c r="E21" i="15"/>
  <c r="A21" i="15"/>
  <c r="H20" i="15"/>
  <c r="E20" i="15"/>
  <c r="A20" i="15"/>
  <c r="E19" i="15"/>
  <c r="A19" i="15"/>
  <c r="H18" i="15"/>
  <c r="E18" i="15"/>
  <c r="A18" i="15"/>
  <c r="H17" i="15"/>
  <c r="E17" i="15"/>
  <c r="A17" i="15"/>
  <c r="H16" i="15"/>
  <c r="E16" i="15"/>
  <c r="A16" i="15"/>
  <c r="E15" i="15"/>
  <c r="A15" i="15"/>
  <c r="G14" i="15"/>
  <c r="H14" i="15" s="1"/>
  <c r="E14" i="15"/>
  <c r="A14" i="15"/>
  <c r="A15" i="14"/>
  <c r="H15" i="14"/>
  <c r="H14" i="14"/>
  <c r="G15" i="14"/>
  <c r="G14" i="14"/>
  <c r="F15" i="14"/>
  <c r="F14" i="14"/>
  <c r="E15" i="14"/>
  <c r="E14" i="14"/>
  <c r="A14" i="14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14" i="13"/>
  <c r="E14" i="13"/>
  <c r="G17" i="13"/>
  <c r="G48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45" i="13"/>
  <c r="F46" i="12"/>
  <c r="F47" i="12"/>
  <c r="F48" i="12"/>
  <c r="F49" i="12"/>
  <c r="F50" i="12"/>
  <c r="F51" i="12"/>
  <c r="F52" i="12"/>
  <c r="F53" i="12"/>
  <c r="F54" i="12"/>
  <c r="F55" i="12"/>
  <c r="F56" i="12"/>
  <c r="G56" i="12" s="1"/>
  <c r="F57" i="12"/>
  <c r="F58" i="12"/>
  <c r="G58" i="12" s="1"/>
  <c r="F59" i="12"/>
  <c r="G59" i="12" s="1"/>
  <c r="F60" i="12"/>
  <c r="G60" i="12" s="1"/>
  <c r="F61" i="12"/>
  <c r="G61" i="12" s="1"/>
  <c r="F62" i="12"/>
  <c r="F63" i="12"/>
  <c r="G63" i="12" s="1"/>
  <c r="F64" i="12"/>
  <c r="G64" i="12" s="1"/>
  <c r="F65" i="12"/>
  <c r="G65" i="12" s="1"/>
  <c r="F66" i="12"/>
  <c r="G66" i="12" s="1"/>
  <c r="F45" i="12"/>
  <c r="G46" i="12"/>
  <c r="G47" i="12"/>
  <c r="G48" i="12"/>
  <c r="G49" i="12"/>
  <c r="G50" i="12"/>
  <c r="G51" i="12"/>
  <c r="G52" i="12"/>
  <c r="G53" i="12"/>
  <c r="G54" i="12"/>
  <c r="G55" i="12"/>
  <c r="G57" i="12"/>
  <c r="G62" i="12"/>
  <c r="G45" i="12"/>
  <c r="H45" i="12" s="1"/>
  <c r="E45" i="12"/>
  <c r="F15" i="12"/>
  <c r="F16" i="12"/>
  <c r="F17" i="12"/>
  <c r="F18" i="12"/>
  <c r="F19" i="12"/>
  <c r="F20" i="12"/>
  <c r="F21" i="12"/>
  <c r="F22" i="12"/>
  <c r="F23" i="12"/>
  <c r="F24" i="12"/>
  <c r="F25" i="12"/>
  <c r="G25" i="12" s="1"/>
  <c r="H25" i="12" s="1"/>
  <c r="F26" i="12"/>
  <c r="G26" i="12" s="1"/>
  <c r="H26" i="12" s="1"/>
  <c r="F27" i="12"/>
  <c r="G27" i="12" s="1"/>
  <c r="F28" i="12"/>
  <c r="G28" i="12" s="1"/>
  <c r="F29" i="12"/>
  <c r="G29" i="12" s="1"/>
  <c r="H29" i="12" s="1"/>
  <c r="F30" i="12"/>
  <c r="G30" i="12" s="1"/>
  <c r="H30" i="12" s="1"/>
  <c r="F31" i="12"/>
  <c r="G31" i="12" s="1"/>
  <c r="H31" i="12" s="1"/>
  <c r="F32" i="12"/>
  <c r="G32" i="12" s="1"/>
  <c r="H32" i="12" s="1"/>
  <c r="F33" i="12"/>
  <c r="G33" i="12" s="1"/>
  <c r="F34" i="12"/>
  <c r="G34" i="12" s="1"/>
  <c r="F35" i="12"/>
  <c r="G35" i="12" s="1"/>
  <c r="F14" i="12"/>
  <c r="G15" i="12"/>
  <c r="G16" i="12"/>
  <c r="G17" i="12"/>
  <c r="G18" i="12"/>
  <c r="H18" i="12" s="1"/>
  <c r="G19" i="12"/>
  <c r="H19" i="12" s="1"/>
  <c r="G20" i="12"/>
  <c r="H20" i="12" s="1"/>
  <c r="G21" i="12"/>
  <c r="H21" i="12" s="1"/>
  <c r="G22" i="12"/>
  <c r="H22" i="12" s="1"/>
  <c r="G23" i="12"/>
  <c r="G24" i="12"/>
  <c r="H24" i="12" s="1"/>
  <c r="F8" i="13"/>
  <c r="F7" i="13"/>
  <c r="F6" i="13"/>
  <c r="F5" i="13"/>
  <c r="F4" i="13"/>
  <c r="B7" i="13"/>
  <c r="B6" i="13"/>
  <c r="B5" i="13"/>
  <c r="B4" i="13"/>
  <c r="F8" i="12"/>
  <c r="F7" i="12"/>
  <c r="F6" i="12"/>
  <c r="F5" i="12"/>
  <c r="F4" i="12"/>
  <c r="B7" i="12"/>
  <c r="B6" i="12"/>
  <c r="B5" i="12"/>
  <c r="B4" i="12"/>
  <c r="E66" i="13"/>
  <c r="G66" i="13" s="1"/>
  <c r="H66" i="13" s="1"/>
  <c r="A66" i="13"/>
  <c r="E65" i="13"/>
  <c r="G65" i="13" s="1"/>
  <c r="H65" i="13" s="1"/>
  <c r="A65" i="13"/>
  <c r="E64" i="13"/>
  <c r="G64" i="13" s="1"/>
  <c r="H64" i="13" s="1"/>
  <c r="A64" i="13"/>
  <c r="E63" i="13"/>
  <c r="A63" i="13"/>
  <c r="E62" i="13"/>
  <c r="A62" i="13"/>
  <c r="E61" i="13"/>
  <c r="A61" i="13"/>
  <c r="E60" i="13"/>
  <c r="A60" i="13"/>
  <c r="E59" i="13"/>
  <c r="A59" i="13"/>
  <c r="E58" i="13"/>
  <c r="A58" i="13"/>
  <c r="E57" i="13"/>
  <c r="G57" i="13" s="1"/>
  <c r="H57" i="13" s="1"/>
  <c r="A57" i="13"/>
  <c r="E56" i="13"/>
  <c r="A56" i="13"/>
  <c r="E55" i="13"/>
  <c r="G55" i="13" s="1"/>
  <c r="H55" i="13" s="1"/>
  <c r="A55" i="13"/>
  <c r="E54" i="13"/>
  <c r="G54" i="13" s="1"/>
  <c r="H54" i="13" s="1"/>
  <c r="A54" i="13"/>
  <c r="E53" i="13"/>
  <c r="G53" i="13" s="1"/>
  <c r="H53" i="13" s="1"/>
  <c r="A53" i="13"/>
  <c r="E52" i="13"/>
  <c r="G52" i="13" s="1"/>
  <c r="H52" i="13" s="1"/>
  <c r="A52" i="13"/>
  <c r="E51" i="13"/>
  <c r="A51" i="13"/>
  <c r="E50" i="13"/>
  <c r="G50" i="13" s="1"/>
  <c r="H50" i="13" s="1"/>
  <c r="A50" i="13"/>
  <c r="E49" i="13"/>
  <c r="G49" i="13" s="1"/>
  <c r="H49" i="13" s="1"/>
  <c r="A49" i="13"/>
  <c r="E48" i="13"/>
  <c r="H48" i="13" s="1"/>
  <c r="A48" i="13"/>
  <c r="E47" i="13"/>
  <c r="A47" i="13"/>
  <c r="E46" i="13"/>
  <c r="G46" i="13" s="1"/>
  <c r="H46" i="13" s="1"/>
  <c r="A46" i="13"/>
  <c r="E45" i="13"/>
  <c r="A45" i="13"/>
  <c r="E35" i="13"/>
  <c r="G35" i="13" s="1"/>
  <c r="H35" i="13" s="1"/>
  <c r="A35" i="13"/>
  <c r="E34" i="13"/>
  <c r="G34" i="13" s="1"/>
  <c r="H34" i="13" s="1"/>
  <c r="A34" i="13"/>
  <c r="E33" i="13"/>
  <c r="G33" i="13" s="1"/>
  <c r="H33" i="13" s="1"/>
  <c r="A33" i="13"/>
  <c r="E32" i="13"/>
  <c r="G32" i="13" s="1"/>
  <c r="H32" i="13" s="1"/>
  <c r="A32" i="13"/>
  <c r="E31" i="13"/>
  <c r="A31" i="13"/>
  <c r="E30" i="13"/>
  <c r="G30" i="13" s="1"/>
  <c r="H30" i="13" s="1"/>
  <c r="A30" i="13"/>
  <c r="E29" i="13"/>
  <c r="G29" i="13" s="1"/>
  <c r="H29" i="13" s="1"/>
  <c r="A29" i="13"/>
  <c r="E28" i="13"/>
  <c r="G28" i="13" s="1"/>
  <c r="H28" i="13" s="1"/>
  <c r="A28" i="13"/>
  <c r="E27" i="13"/>
  <c r="A27" i="13"/>
  <c r="E26" i="13"/>
  <c r="A26" i="13"/>
  <c r="E25" i="13"/>
  <c r="G25" i="13" s="1"/>
  <c r="H25" i="13" s="1"/>
  <c r="A25" i="13"/>
  <c r="E24" i="13"/>
  <c r="G24" i="13" s="1"/>
  <c r="H24" i="13" s="1"/>
  <c r="A24" i="13"/>
  <c r="E23" i="13"/>
  <c r="A23" i="13"/>
  <c r="E22" i="13"/>
  <c r="G22" i="13" s="1"/>
  <c r="H22" i="13" s="1"/>
  <c r="A22" i="13"/>
  <c r="E21" i="13"/>
  <c r="G21" i="13" s="1"/>
  <c r="H21" i="13" s="1"/>
  <c r="A21" i="13"/>
  <c r="E20" i="13"/>
  <c r="A20" i="13"/>
  <c r="E19" i="13"/>
  <c r="G19" i="13" s="1"/>
  <c r="H19" i="13" s="1"/>
  <c r="A19" i="13"/>
  <c r="E18" i="13"/>
  <c r="G18" i="13" s="1"/>
  <c r="H18" i="13" s="1"/>
  <c r="A18" i="13"/>
  <c r="E17" i="13"/>
  <c r="A17" i="13"/>
  <c r="E16" i="13"/>
  <c r="G16" i="13" s="1"/>
  <c r="H16" i="13" s="1"/>
  <c r="A16" i="13"/>
  <c r="E15" i="13"/>
  <c r="G15" i="13" s="1"/>
  <c r="H15" i="13" s="1"/>
  <c r="A15" i="13"/>
  <c r="G14" i="13"/>
  <c r="H14" i="13" s="1"/>
  <c r="A14" i="13"/>
  <c r="E66" i="12"/>
  <c r="A66" i="12"/>
  <c r="E65" i="12"/>
  <c r="A65" i="12"/>
  <c r="E64" i="12"/>
  <c r="A64" i="12"/>
  <c r="E63" i="12"/>
  <c r="A63" i="12"/>
  <c r="E62" i="12"/>
  <c r="H62" i="12" s="1"/>
  <c r="A62" i="12"/>
  <c r="E61" i="12"/>
  <c r="A61" i="12"/>
  <c r="E60" i="12"/>
  <c r="A60" i="12"/>
  <c r="E59" i="12"/>
  <c r="A59" i="12"/>
  <c r="E58" i="12"/>
  <c r="A58" i="12"/>
  <c r="E57" i="12"/>
  <c r="A57" i="12"/>
  <c r="E56" i="12"/>
  <c r="A56" i="12"/>
  <c r="E55" i="12"/>
  <c r="A55" i="12"/>
  <c r="E54" i="12"/>
  <c r="A54" i="12"/>
  <c r="E53" i="12"/>
  <c r="A53" i="12"/>
  <c r="E52" i="12"/>
  <c r="A52" i="12"/>
  <c r="E51" i="12"/>
  <c r="A51" i="12"/>
  <c r="E50" i="12"/>
  <c r="A50" i="12"/>
  <c r="E49" i="12"/>
  <c r="A49" i="12"/>
  <c r="E48" i="12"/>
  <c r="H48" i="12" s="1"/>
  <c r="A48" i="12"/>
  <c r="E47" i="12"/>
  <c r="H47" i="12" s="1"/>
  <c r="A47" i="12"/>
  <c r="E46" i="12"/>
  <c r="H46" i="12" s="1"/>
  <c r="A46" i="12"/>
  <c r="A45" i="12"/>
  <c r="E35" i="12"/>
  <c r="A35" i="12"/>
  <c r="E34" i="12"/>
  <c r="A34" i="12"/>
  <c r="E33" i="12"/>
  <c r="A33" i="12"/>
  <c r="E32" i="12"/>
  <c r="A32" i="12"/>
  <c r="E31" i="12"/>
  <c r="A31" i="12"/>
  <c r="E30" i="12"/>
  <c r="A30" i="12"/>
  <c r="E29" i="12"/>
  <c r="A29" i="12"/>
  <c r="E28" i="12"/>
  <c r="A28" i="12"/>
  <c r="E27" i="12"/>
  <c r="A27" i="12"/>
  <c r="E26" i="12"/>
  <c r="A26" i="12"/>
  <c r="E25" i="12"/>
  <c r="A25" i="12"/>
  <c r="E24" i="12"/>
  <c r="A24" i="12"/>
  <c r="E23" i="12"/>
  <c r="A23" i="12"/>
  <c r="E22" i="12"/>
  <c r="A22" i="12"/>
  <c r="E21" i="12"/>
  <c r="A21" i="12"/>
  <c r="E20" i="12"/>
  <c r="A20" i="12"/>
  <c r="E19" i="12"/>
  <c r="A19" i="12"/>
  <c r="E18" i="12"/>
  <c r="A18" i="12"/>
  <c r="E17" i="12"/>
  <c r="A17" i="12"/>
  <c r="H16" i="12"/>
  <c r="E16" i="12"/>
  <c r="A16" i="12"/>
  <c r="H15" i="12"/>
  <c r="E15" i="12"/>
  <c r="A15" i="12"/>
  <c r="G14" i="12"/>
  <c r="H14" i="12" s="1"/>
  <c r="E14" i="12"/>
  <c r="A14" i="12"/>
  <c r="G14" i="11"/>
  <c r="F59" i="11"/>
  <c r="G59" i="11" s="1"/>
  <c r="F60" i="11"/>
  <c r="G60" i="11" s="1"/>
  <c r="F61" i="11"/>
  <c r="G61" i="11" s="1"/>
  <c r="F45" i="11"/>
  <c r="G45" i="11" s="1"/>
  <c r="H45" i="11" s="1"/>
  <c r="F14" i="11"/>
  <c r="E14" i="11"/>
  <c r="E66" i="11"/>
  <c r="A66" i="11"/>
  <c r="E65" i="11"/>
  <c r="A65" i="11"/>
  <c r="E64" i="11"/>
  <c r="A64" i="11"/>
  <c r="E63" i="11"/>
  <c r="A63" i="11"/>
  <c r="E62" i="11"/>
  <c r="F62" i="11" s="1"/>
  <c r="G62" i="11" s="1"/>
  <c r="A62" i="11"/>
  <c r="E61" i="11"/>
  <c r="A61" i="11"/>
  <c r="E60" i="11"/>
  <c r="A60" i="11"/>
  <c r="E59" i="11"/>
  <c r="A59" i="11"/>
  <c r="E58" i="11"/>
  <c r="F58" i="11" s="1"/>
  <c r="G58" i="11" s="1"/>
  <c r="A58" i="11"/>
  <c r="E57" i="11"/>
  <c r="F57" i="11" s="1"/>
  <c r="G57" i="11" s="1"/>
  <c r="A57" i="11"/>
  <c r="E56" i="11"/>
  <c r="F56" i="11" s="1"/>
  <c r="G56" i="11" s="1"/>
  <c r="A56" i="11"/>
  <c r="E55" i="11"/>
  <c r="F55" i="11" s="1"/>
  <c r="G55" i="11" s="1"/>
  <c r="A55" i="11"/>
  <c r="E54" i="11"/>
  <c r="F54" i="11" s="1"/>
  <c r="G54" i="11" s="1"/>
  <c r="A54" i="11"/>
  <c r="E53" i="11"/>
  <c r="F53" i="11" s="1"/>
  <c r="G53" i="11" s="1"/>
  <c r="A53" i="11"/>
  <c r="E52" i="11"/>
  <c r="F52" i="11" s="1"/>
  <c r="G52" i="11" s="1"/>
  <c r="A52" i="11"/>
  <c r="E51" i="11"/>
  <c r="F51" i="11" s="1"/>
  <c r="G51" i="11" s="1"/>
  <c r="A51" i="11"/>
  <c r="E50" i="11"/>
  <c r="F50" i="11" s="1"/>
  <c r="G50" i="11" s="1"/>
  <c r="A50" i="11"/>
  <c r="E49" i="11"/>
  <c r="F49" i="11" s="1"/>
  <c r="G49" i="11" s="1"/>
  <c r="A49" i="11"/>
  <c r="E48" i="11"/>
  <c r="F48" i="11" s="1"/>
  <c r="G48" i="11" s="1"/>
  <c r="A48" i="11"/>
  <c r="E47" i="11"/>
  <c r="A47" i="11"/>
  <c r="E46" i="11"/>
  <c r="A46" i="11"/>
  <c r="E45" i="11"/>
  <c r="A45" i="11"/>
  <c r="E35" i="11"/>
  <c r="F35" i="11" s="1"/>
  <c r="G35" i="11" s="1"/>
  <c r="H35" i="11" s="1"/>
  <c r="A35" i="11"/>
  <c r="E34" i="11"/>
  <c r="F34" i="11" s="1"/>
  <c r="G34" i="11" s="1"/>
  <c r="H34" i="11" s="1"/>
  <c r="A34" i="11"/>
  <c r="E33" i="11"/>
  <c r="F33" i="11" s="1"/>
  <c r="G33" i="11" s="1"/>
  <c r="H33" i="11" s="1"/>
  <c r="A33" i="11"/>
  <c r="E32" i="11"/>
  <c r="F32" i="11" s="1"/>
  <c r="G32" i="11" s="1"/>
  <c r="H32" i="11" s="1"/>
  <c r="A32" i="11"/>
  <c r="E31" i="11"/>
  <c r="F31" i="11" s="1"/>
  <c r="A31" i="11"/>
  <c r="E30" i="11"/>
  <c r="F30" i="11" s="1"/>
  <c r="G30" i="11" s="1"/>
  <c r="H30" i="11" s="1"/>
  <c r="A30" i="11"/>
  <c r="E29" i="11"/>
  <c r="F29" i="11" s="1"/>
  <c r="G29" i="11" s="1"/>
  <c r="H29" i="11" s="1"/>
  <c r="A29" i="11"/>
  <c r="E28" i="11"/>
  <c r="F28" i="11" s="1"/>
  <c r="G28" i="11" s="1"/>
  <c r="H28" i="11" s="1"/>
  <c r="A28" i="11"/>
  <c r="E27" i="11"/>
  <c r="F27" i="11" s="1"/>
  <c r="G27" i="11" s="1"/>
  <c r="H27" i="11" s="1"/>
  <c r="A27" i="11"/>
  <c r="E26" i="11"/>
  <c r="F26" i="11" s="1"/>
  <c r="G26" i="11" s="1"/>
  <c r="A26" i="11"/>
  <c r="E25" i="11"/>
  <c r="F25" i="11" s="1"/>
  <c r="G25" i="11" s="1"/>
  <c r="H25" i="11" s="1"/>
  <c r="A25" i="11"/>
  <c r="E24" i="11"/>
  <c r="F24" i="11" s="1"/>
  <c r="G24" i="11" s="1"/>
  <c r="H24" i="11" s="1"/>
  <c r="A24" i="11"/>
  <c r="E23" i="11"/>
  <c r="F23" i="11" s="1"/>
  <c r="G23" i="11" s="1"/>
  <c r="H23" i="11" s="1"/>
  <c r="A23" i="11"/>
  <c r="E22" i="11"/>
  <c r="F22" i="11" s="1"/>
  <c r="G22" i="11" s="1"/>
  <c r="H22" i="11" s="1"/>
  <c r="A22" i="11"/>
  <c r="E21" i="11"/>
  <c r="F21" i="11" s="1"/>
  <c r="G21" i="11" s="1"/>
  <c r="H21" i="11" s="1"/>
  <c r="A21" i="11"/>
  <c r="E20" i="11"/>
  <c r="F20" i="11" s="1"/>
  <c r="G20" i="11" s="1"/>
  <c r="H20" i="11" s="1"/>
  <c r="A20" i="11"/>
  <c r="E19" i="11"/>
  <c r="F19" i="11" s="1"/>
  <c r="G19" i="11" s="1"/>
  <c r="H19" i="11" s="1"/>
  <c r="A19" i="11"/>
  <c r="E18" i="11"/>
  <c r="F18" i="11" s="1"/>
  <c r="G18" i="11" s="1"/>
  <c r="H18" i="11" s="1"/>
  <c r="A18" i="11"/>
  <c r="E17" i="11"/>
  <c r="F17" i="11" s="1"/>
  <c r="G17" i="11" s="1"/>
  <c r="H17" i="11" s="1"/>
  <c r="A17" i="11"/>
  <c r="E16" i="11"/>
  <c r="F16" i="11" s="1"/>
  <c r="G16" i="11" s="1"/>
  <c r="H16" i="11" s="1"/>
  <c r="A16" i="11"/>
  <c r="E15" i="11"/>
  <c r="F15" i="11" s="1"/>
  <c r="G15" i="11" s="1"/>
  <c r="H15" i="11" s="1"/>
  <c r="A15" i="11"/>
  <c r="H14" i="11"/>
  <c r="A14" i="11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45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14" i="10"/>
  <c r="G46" i="8"/>
  <c r="G47" i="8"/>
  <c r="G48" i="8"/>
  <c r="G49" i="8"/>
  <c r="G50" i="8"/>
  <c r="G51" i="8"/>
  <c r="G52" i="8"/>
  <c r="G53" i="8"/>
  <c r="H53" i="8" s="1"/>
  <c r="G54" i="8"/>
  <c r="G55" i="8"/>
  <c r="G56" i="8"/>
  <c r="G57" i="8"/>
  <c r="G58" i="8"/>
  <c r="H58" i="8" s="1"/>
  <c r="G59" i="8"/>
  <c r="G60" i="8"/>
  <c r="G61" i="8"/>
  <c r="H61" i="8" s="1"/>
  <c r="G62" i="8"/>
  <c r="H62" i="8" s="1"/>
  <c r="G63" i="8"/>
  <c r="H63" i="8" s="1"/>
  <c r="G64" i="8"/>
  <c r="H64" i="8" s="1"/>
  <c r="G65" i="8"/>
  <c r="H65" i="8" s="1"/>
  <c r="G66" i="8"/>
  <c r="H66" i="8" s="1"/>
  <c r="G45" i="8"/>
  <c r="G16" i="8"/>
  <c r="G17" i="8"/>
  <c r="H17" i="8" s="1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H32" i="8" s="1"/>
  <c r="G33" i="8"/>
  <c r="H33" i="8" s="1"/>
  <c r="G34" i="8"/>
  <c r="H34" i="8" s="1"/>
  <c r="G35" i="8"/>
  <c r="H35" i="8" s="1"/>
  <c r="G15" i="8"/>
  <c r="H45" i="8"/>
  <c r="H46" i="8"/>
  <c r="H21" i="8"/>
  <c r="H22" i="8"/>
  <c r="G14" i="8"/>
  <c r="E66" i="10"/>
  <c r="F66" i="10" s="1"/>
  <c r="H66" i="10" s="1"/>
  <c r="A66" i="10"/>
  <c r="E65" i="10"/>
  <c r="F65" i="10" s="1"/>
  <c r="H65" i="10" s="1"/>
  <c r="A65" i="10"/>
  <c r="E64" i="10"/>
  <c r="F64" i="10" s="1"/>
  <c r="A64" i="10"/>
  <c r="E63" i="10"/>
  <c r="F63" i="10" s="1"/>
  <c r="A63" i="10"/>
  <c r="E62" i="10"/>
  <c r="F62" i="10" s="1"/>
  <c r="A62" i="10"/>
  <c r="E61" i="10"/>
  <c r="F61" i="10" s="1"/>
  <c r="A61" i="10"/>
  <c r="E60" i="10"/>
  <c r="F60" i="10" s="1"/>
  <c r="A60" i="10"/>
  <c r="E59" i="10"/>
  <c r="F59" i="10" s="1"/>
  <c r="H59" i="10" s="1"/>
  <c r="A59" i="10"/>
  <c r="E58" i="10"/>
  <c r="F58" i="10" s="1"/>
  <c r="H58" i="10" s="1"/>
  <c r="A58" i="10"/>
  <c r="E57" i="10"/>
  <c r="F57" i="10" s="1"/>
  <c r="H57" i="10" s="1"/>
  <c r="A57" i="10"/>
  <c r="E56" i="10"/>
  <c r="F56" i="10" s="1"/>
  <c r="H56" i="10" s="1"/>
  <c r="A56" i="10"/>
  <c r="E55" i="10"/>
  <c r="F55" i="10" s="1"/>
  <c r="H55" i="10" s="1"/>
  <c r="A55" i="10"/>
  <c r="E54" i="10"/>
  <c r="F54" i="10" s="1"/>
  <c r="H54" i="10" s="1"/>
  <c r="A54" i="10"/>
  <c r="E53" i="10"/>
  <c r="F53" i="10" s="1"/>
  <c r="H53" i="10" s="1"/>
  <c r="A53" i="10"/>
  <c r="E52" i="10"/>
  <c r="F52" i="10" s="1"/>
  <c r="H52" i="10" s="1"/>
  <c r="A52" i="10"/>
  <c r="E51" i="10"/>
  <c r="F51" i="10" s="1"/>
  <c r="H51" i="10" s="1"/>
  <c r="A51" i="10"/>
  <c r="E50" i="10"/>
  <c r="F50" i="10" s="1"/>
  <c r="H50" i="10" s="1"/>
  <c r="A50" i="10"/>
  <c r="E49" i="10"/>
  <c r="F49" i="10" s="1"/>
  <c r="H49" i="10" s="1"/>
  <c r="A49" i="10"/>
  <c r="E48" i="10"/>
  <c r="F48" i="10" s="1"/>
  <c r="H48" i="10" s="1"/>
  <c r="A48" i="10"/>
  <c r="E47" i="10"/>
  <c r="F47" i="10" s="1"/>
  <c r="H47" i="10" s="1"/>
  <c r="A47" i="10"/>
  <c r="E46" i="10"/>
  <c r="F46" i="10" s="1"/>
  <c r="H46" i="10" s="1"/>
  <c r="A46" i="10"/>
  <c r="E45" i="10"/>
  <c r="F45" i="10" s="1"/>
  <c r="H45" i="10" s="1"/>
  <c r="A45" i="10"/>
  <c r="F35" i="10"/>
  <c r="E35" i="10"/>
  <c r="A35" i="10"/>
  <c r="F34" i="10"/>
  <c r="H34" i="10" s="1"/>
  <c r="E34" i="10"/>
  <c r="A34" i="10"/>
  <c r="F33" i="10"/>
  <c r="H33" i="10" s="1"/>
  <c r="E33" i="10"/>
  <c r="A33" i="10"/>
  <c r="F32" i="10"/>
  <c r="H32" i="10" s="1"/>
  <c r="E32" i="10"/>
  <c r="A32" i="10"/>
  <c r="F31" i="10"/>
  <c r="H31" i="10" s="1"/>
  <c r="E31" i="10"/>
  <c r="A31" i="10"/>
  <c r="F30" i="10"/>
  <c r="E30" i="10"/>
  <c r="A30" i="10"/>
  <c r="F29" i="10"/>
  <c r="E29" i="10"/>
  <c r="A29" i="10"/>
  <c r="F28" i="10"/>
  <c r="E28" i="10"/>
  <c r="A28" i="10"/>
  <c r="F27" i="10"/>
  <c r="H27" i="10" s="1"/>
  <c r="E27" i="10"/>
  <c r="A27" i="10"/>
  <c r="F26" i="10"/>
  <c r="H26" i="10" s="1"/>
  <c r="E26" i="10"/>
  <c r="A26" i="10"/>
  <c r="F25" i="10"/>
  <c r="H25" i="10" s="1"/>
  <c r="E25" i="10"/>
  <c r="A25" i="10"/>
  <c r="F24" i="10"/>
  <c r="H24" i="10" s="1"/>
  <c r="E24" i="10"/>
  <c r="A24" i="10"/>
  <c r="F23" i="10"/>
  <c r="H23" i="10" s="1"/>
  <c r="E23" i="10"/>
  <c r="A23" i="10"/>
  <c r="F22" i="10"/>
  <c r="H22" i="10" s="1"/>
  <c r="E22" i="10"/>
  <c r="A22" i="10"/>
  <c r="F21" i="10"/>
  <c r="H21" i="10" s="1"/>
  <c r="E21" i="10"/>
  <c r="A21" i="10"/>
  <c r="F20" i="10"/>
  <c r="H20" i="10" s="1"/>
  <c r="E20" i="10"/>
  <c r="A20" i="10"/>
  <c r="F19" i="10"/>
  <c r="E19" i="10"/>
  <c r="A19" i="10"/>
  <c r="F18" i="10"/>
  <c r="H18" i="10" s="1"/>
  <c r="E18" i="10"/>
  <c r="A18" i="10"/>
  <c r="F17" i="10"/>
  <c r="H17" i="10" s="1"/>
  <c r="E17" i="10"/>
  <c r="A17" i="10"/>
  <c r="F16" i="10"/>
  <c r="H16" i="10" s="1"/>
  <c r="E16" i="10"/>
  <c r="A16" i="10"/>
  <c r="F15" i="10"/>
  <c r="H15" i="10" s="1"/>
  <c r="E15" i="10"/>
  <c r="A15" i="10"/>
  <c r="F14" i="10"/>
  <c r="H14" i="10" s="1"/>
  <c r="E14" i="10"/>
  <c r="A14" i="10"/>
  <c r="F8" i="10"/>
  <c r="F7" i="10"/>
  <c r="B7" i="10"/>
  <c r="F6" i="10"/>
  <c r="B6" i="10"/>
  <c r="F5" i="10"/>
  <c r="B5" i="10"/>
  <c r="F4" i="10"/>
  <c r="B4" i="10"/>
  <c r="F46" i="8"/>
  <c r="F47" i="8"/>
  <c r="H47" i="8" s="1"/>
  <c r="F48" i="8"/>
  <c r="H48" i="8" s="1"/>
  <c r="F49" i="8"/>
  <c r="H49" i="8" s="1"/>
  <c r="F50" i="8"/>
  <c r="H50" i="8" s="1"/>
  <c r="F51" i="8"/>
  <c r="H51" i="8" s="1"/>
  <c r="F52" i="8"/>
  <c r="H52" i="8" s="1"/>
  <c r="F53" i="8"/>
  <c r="F54" i="8"/>
  <c r="H54" i="8" s="1"/>
  <c r="F55" i="8"/>
  <c r="F56" i="8"/>
  <c r="F57" i="8"/>
  <c r="F58" i="8"/>
  <c r="F59" i="8"/>
  <c r="H59" i="8" s="1"/>
  <c r="F60" i="8"/>
  <c r="H60" i="8" s="1"/>
  <c r="F61" i="8"/>
  <c r="F62" i="8"/>
  <c r="F63" i="8"/>
  <c r="F64" i="8"/>
  <c r="F65" i="8"/>
  <c r="F66" i="8"/>
  <c r="F45" i="8"/>
  <c r="F15" i="8"/>
  <c r="F16" i="8"/>
  <c r="F17" i="8"/>
  <c r="F18" i="8"/>
  <c r="F19" i="8"/>
  <c r="F20" i="8"/>
  <c r="F21" i="8"/>
  <c r="F22" i="8"/>
  <c r="F23" i="8"/>
  <c r="H23" i="8" s="1"/>
  <c r="F24" i="8"/>
  <c r="H24" i="8" s="1"/>
  <c r="F25" i="8"/>
  <c r="H25" i="8" s="1"/>
  <c r="F26" i="8"/>
  <c r="H26" i="8" s="1"/>
  <c r="F27" i="8"/>
  <c r="H27" i="8" s="1"/>
  <c r="F28" i="8"/>
  <c r="F29" i="8"/>
  <c r="F30" i="8"/>
  <c r="F31" i="8"/>
  <c r="F32" i="8"/>
  <c r="F33" i="8"/>
  <c r="F34" i="8"/>
  <c r="F35" i="8"/>
  <c r="F14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45" i="8"/>
  <c r="H31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14" i="8"/>
  <c r="F8" i="8"/>
  <c r="F7" i="8"/>
  <c r="F6" i="8"/>
  <c r="F5" i="8"/>
  <c r="F4" i="8"/>
  <c r="B7" i="8"/>
  <c r="B6" i="8"/>
  <c r="B5" i="8"/>
  <c r="B4" i="8"/>
  <c r="A66" i="8"/>
  <c r="A65" i="8"/>
  <c r="A64" i="8"/>
  <c r="A63" i="8"/>
  <c r="A62" i="8"/>
  <c r="A61" i="8"/>
  <c r="A60" i="8"/>
  <c r="A59" i="8"/>
  <c r="A58" i="8"/>
  <c r="H57" i="8"/>
  <c r="A57" i="8"/>
  <c r="H56" i="8"/>
  <c r="A56" i="8"/>
  <c r="H55" i="8"/>
  <c r="A55" i="8"/>
  <c r="A54" i="8"/>
  <c r="A53" i="8"/>
  <c r="A52" i="8"/>
  <c r="A51" i="8"/>
  <c r="A50" i="8"/>
  <c r="A49" i="8"/>
  <c r="A48" i="8"/>
  <c r="A47" i="8"/>
  <c r="A46" i="8"/>
  <c r="A45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H20" i="8"/>
  <c r="A20" i="8"/>
  <c r="H19" i="8"/>
  <c r="A19" i="8"/>
  <c r="H18" i="8"/>
  <c r="A18" i="8"/>
  <c r="A17" i="8"/>
  <c r="H16" i="8"/>
  <c r="A16" i="8"/>
  <c r="H15" i="8"/>
  <c r="A15" i="8"/>
  <c r="H14" i="8"/>
  <c r="A14" i="8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1" i="6"/>
  <c r="F62" i="6"/>
  <c r="F63" i="6"/>
  <c r="F64" i="6"/>
  <c r="F65" i="6"/>
  <c r="F66" i="6"/>
  <c r="F45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14" i="6"/>
  <c r="E66" i="6"/>
  <c r="A66" i="6"/>
  <c r="E65" i="6"/>
  <c r="A65" i="6"/>
  <c r="E64" i="6"/>
  <c r="A64" i="6"/>
  <c r="E63" i="6"/>
  <c r="G63" i="6" s="1"/>
  <c r="A63" i="6"/>
  <c r="E62" i="6"/>
  <c r="G62" i="6" s="1"/>
  <c r="A62" i="6"/>
  <c r="E61" i="6"/>
  <c r="G61" i="6" s="1"/>
  <c r="A61" i="6"/>
  <c r="E60" i="6"/>
  <c r="A60" i="6"/>
  <c r="E59" i="6"/>
  <c r="G59" i="6" s="1"/>
  <c r="A59" i="6"/>
  <c r="E58" i="6"/>
  <c r="G58" i="6" s="1"/>
  <c r="A58" i="6"/>
  <c r="E57" i="6"/>
  <c r="G57" i="6" s="1"/>
  <c r="A57" i="6"/>
  <c r="E56" i="6"/>
  <c r="A56" i="6"/>
  <c r="E55" i="6"/>
  <c r="A55" i="6"/>
  <c r="E54" i="6"/>
  <c r="A54" i="6"/>
  <c r="E53" i="6"/>
  <c r="A53" i="6"/>
  <c r="E52" i="6"/>
  <c r="G52" i="6" s="1"/>
  <c r="A52" i="6"/>
  <c r="E51" i="6"/>
  <c r="G51" i="6" s="1"/>
  <c r="A51" i="6"/>
  <c r="E50" i="6"/>
  <c r="G50" i="6" s="1"/>
  <c r="A50" i="6"/>
  <c r="E49" i="6"/>
  <c r="G49" i="6" s="1"/>
  <c r="A49" i="6"/>
  <c r="E48" i="6"/>
  <c r="G48" i="6" s="1"/>
  <c r="A48" i="6"/>
  <c r="E47" i="6"/>
  <c r="G47" i="6" s="1"/>
  <c r="A47" i="6"/>
  <c r="E46" i="6"/>
  <c r="G46" i="6" s="1"/>
  <c r="A46" i="6"/>
  <c r="E45" i="6"/>
  <c r="A45" i="6"/>
  <c r="E35" i="6"/>
  <c r="A35" i="6"/>
  <c r="E34" i="6"/>
  <c r="A34" i="6"/>
  <c r="E33" i="6"/>
  <c r="A33" i="6"/>
  <c r="E32" i="6"/>
  <c r="A32" i="6"/>
  <c r="E31" i="6"/>
  <c r="A31" i="6"/>
  <c r="E30" i="6"/>
  <c r="A30" i="6"/>
  <c r="E29" i="6"/>
  <c r="G29" i="6" s="1"/>
  <c r="A29" i="6"/>
  <c r="E28" i="6"/>
  <c r="G28" i="6" s="1"/>
  <c r="A28" i="6"/>
  <c r="E27" i="6"/>
  <c r="G27" i="6" s="1"/>
  <c r="A27" i="6"/>
  <c r="E26" i="6"/>
  <c r="G26" i="6" s="1"/>
  <c r="A26" i="6"/>
  <c r="E25" i="6"/>
  <c r="G25" i="6" s="1"/>
  <c r="A25" i="6"/>
  <c r="E24" i="6"/>
  <c r="G24" i="6" s="1"/>
  <c r="A24" i="6"/>
  <c r="E23" i="6"/>
  <c r="G23" i="6" s="1"/>
  <c r="A23" i="6"/>
  <c r="E22" i="6"/>
  <c r="G22" i="6" s="1"/>
  <c r="A22" i="6"/>
  <c r="E21" i="6"/>
  <c r="G21" i="6" s="1"/>
  <c r="A21" i="6"/>
  <c r="E20" i="6"/>
  <c r="A20" i="6"/>
  <c r="E19" i="6"/>
  <c r="G19" i="6" s="1"/>
  <c r="A19" i="6"/>
  <c r="E18" i="6"/>
  <c r="G18" i="6" s="1"/>
  <c r="A18" i="6"/>
  <c r="E17" i="6"/>
  <c r="G17" i="6" s="1"/>
  <c r="A17" i="6"/>
  <c r="E16" i="6"/>
  <c r="G16" i="6" s="1"/>
  <c r="A16" i="6"/>
  <c r="E15" i="6"/>
  <c r="G15" i="6" s="1"/>
  <c r="A15" i="6"/>
  <c r="E14" i="6"/>
  <c r="G14" i="6" s="1"/>
  <c r="A14" i="6"/>
  <c r="E46" i="4"/>
  <c r="F46" i="4" s="1"/>
  <c r="G46" i="4" s="1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F55" i="4"/>
  <c r="G55" i="4" s="1"/>
  <c r="F56" i="4"/>
  <c r="G56" i="4" s="1"/>
  <c r="F57" i="4"/>
  <c r="G57" i="4" s="1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E45" i="4"/>
  <c r="E15" i="4"/>
  <c r="E16" i="4"/>
  <c r="E17" i="4"/>
  <c r="E18" i="4"/>
  <c r="E19" i="4"/>
  <c r="E20" i="4"/>
  <c r="E21" i="4"/>
  <c r="E22" i="4"/>
  <c r="E23" i="4"/>
  <c r="F23" i="4" s="1"/>
  <c r="G23" i="4" s="1"/>
  <c r="E24" i="4"/>
  <c r="F24" i="4" s="1"/>
  <c r="G24" i="4" s="1"/>
  <c r="E25" i="4"/>
  <c r="F25" i="4" s="1"/>
  <c r="G25" i="4" s="1"/>
  <c r="E26" i="4"/>
  <c r="F26" i="4" s="1"/>
  <c r="G26" i="4" s="1"/>
  <c r="E27" i="4"/>
  <c r="F27" i="4" s="1"/>
  <c r="G27" i="4" s="1"/>
  <c r="E28" i="4"/>
  <c r="F28" i="4" s="1"/>
  <c r="G28" i="4" s="1"/>
  <c r="E29" i="4"/>
  <c r="F29" i="4" s="1"/>
  <c r="G29" i="4" s="1"/>
  <c r="E30" i="4"/>
  <c r="F30" i="4" s="1"/>
  <c r="G30" i="4" s="1"/>
  <c r="E31" i="4"/>
  <c r="F31" i="4" s="1"/>
  <c r="G31" i="4" s="1"/>
  <c r="E32" i="4"/>
  <c r="F32" i="4" s="1"/>
  <c r="G32" i="4" s="1"/>
  <c r="E33" i="4"/>
  <c r="F33" i="4" s="1"/>
  <c r="G33" i="4" s="1"/>
  <c r="E34" i="4"/>
  <c r="F34" i="4" s="1"/>
  <c r="G34" i="4" s="1"/>
  <c r="E35" i="4"/>
  <c r="F35" i="4" s="1"/>
  <c r="G35" i="4" s="1"/>
  <c r="E14" i="4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45" i="4"/>
  <c r="G45" i="4" s="1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14" i="4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14" i="4"/>
  <c r="G14" i="4" s="1"/>
  <c r="E31" i="2"/>
  <c r="E32" i="2"/>
  <c r="D14" i="3"/>
  <c r="E14" i="3" s="1"/>
  <c r="F14" i="3" s="1"/>
  <c r="D15" i="3"/>
  <c r="E15" i="3"/>
  <c r="F15" i="3" s="1"/>
  <c r="D16" i="3"/>
  <c r="E16" i="3"/>
  <c r="F16" i="3"/>
  <c r="D17" i="3"/>
  <c r="E17" i="3"/>
  <c r="F17" i="3"/>
  <c r="D18" i="3"/>
  <c r="E18" i="3"/>
  <c r="F18" i="3"/>
  <c r="D19" i="3"/>
  <c r="E19" i="3"/>
  <c r="F19" i="3"/>
  <c r="D20" i="3"/>
  <c r="E20" i="3"/>
  <c r="F20" i="3"/>
  <c r="D21" i="3"/>
  <c r="E21" i="3"/>
  <c r="F21" i="3"/>
  <c r="D22" i="3"/>
  <c r="E22" i="3"/>
  <c r="F22" i="3"/>
  <c r="D23" i="3"/>
  <c r="E23" i="3" s="1"/>
  <c r="F23" i="3" s="1"/>
  <c r="D24" i="3"/>
  <c r="E24" i="3"/>
  <c r="F24" i="3" s="1"/>
  <c r="D29" i="3"/>
  <c r="E29" i="3"/>
  <c r="F29" i="3" s="1"/>
  <c r="D30" i="3"/>
  <c r="E30" i="3"/>
  <c r="F30" i="3"/>
  <c r="D31" i="3"/>
  <c r="E31" i="3"/>
  <c r="F31" i="3"/>
  <c r="D32" i="3"/>
  <c r="E32" i="3"/>
  <c r="F32" i="3"/>
  <c r="D33" i="3"/>
  <c r="E33" i="3"/>
  <c r="F33" i="3"/>
  <c r="D34" i="3"/>
  <c r="E34" i="3"/>
  <c r="F34" i="3"/>
  <c r="D35" i="3"/>
  <c r="E35" i="3"/>
  <c r="F35" i="3"/>
  <c r="D36" i="3"/>
  <c r="E36" i="3"/>
  <c r="F36" i="3"/>
  <c r="D37" i="3"/>
  <c r="E37" i="3"/>
  <c r="F37" i="3"/>
  <c r="D38" i="3"/>
  <c r="E38" i="3"/>
  <c r="F38" i="3"/>
  <c r="D39" i="3"/>
  <c r="E39" i="3" s="1"/>
  <c r="F39" i="3" s="1"/>
  <c r="A16" i="2"/>
  <c r="E16" i="2"/>
  <c r="F16" i="2"/>
  <c r="A17" i="2"/>
  <c r="E17" i="2"/>
  <c r="F17" i="2"/>
  <c r="A18" i="2"/>
  <c r="E18" i="2"/>
  <c r="F18" i="2"/>
  <c r="A19" i="2"/>
  <c r="E19" i="2"/>
  <c r="F19" i="2"/>
  <c r="A20" i="2"/>
  <c r="E20" i="2"/>
  <c r="F20" i="2"/>
  <c r="A21" i="2"/>
  <c r="E21" i="2"/>
  <c r="F21" i="2"/>
  <c r="A22" i="2"/>
  <c r="E22" i="2"/>
  <c r="F22" i="2"/>
  <c r="A23" i="2"/>
  <c r="E23" i="2"/>
  <c r="F23" i="2"/>
  <c r="A24" i="2"/>
  <c r="E24" i="2"/>
  <c r="F24" i="2"/>
  <c r="A25" i="2"/>
  <c r="E25" i="2"/>
  <c r="F25" i="2"/>
  <c r="A26" i="2"/>
  <c r="E26" i="2"/>
  <c r="F26" i="2"/>
  <c r="D31" i="2"/>
  <c r="F31" i="2"/>
  <c r="D32" i="2"/>
  <c r="F32" i="2" s="1"/>
  <c r="D33" i="2"/>
  <c r="E33" i="2"/>
  <c r="F33" i="2"/>
  <c r="D34" i="2"/>
  <c r="E34" i="2"/>
  <c r="F34" i="2"/>
  <c r="D35" i="2"/>
  <c r="E35" i="2"/>
  <c r="F35" i="2"/>
  <c r="D36" i="2"/>
  <c r="E36" i="2"/>
  <c r="F36" i="2"/>
  <c r="D37" i="2"/>
  <c r="E37" i="2"/>
  <c r="F37" i="2"/>
  <c r="D38" i="2"/>
  <c r="E38" i="2"/>
  <c r="F38" i="2"/>
  <c r="D39" i="2"/>
  <c r="E39" i="2"/>
  <c r="F39" i="2"/>
  <c r="D40" i="2"/>
  <c r="E40" i="2"/>
  <c r="F40" i="2"/>
  <c r="D41" i="2"/>
  <c r="E41" i="2"/>
  <c r="F41" i="2"/>
  <c r="D33" i="1"/>
  <c r="E33" i="1" s="1"/>
  <c r="D34" i="1"/>
  <c r="E34" i="1" s="1"/>
  <c r="D35" i="1"/>
  <c r="E35" i="1" s="1"/>
  <c r="D36" i="1"/>
  <c r="D37" i="1"/>
  <c r="E37" i="1" s="1"/>
  <c r="D38" i="1"/>
  <c r="D39" i="1"/>
  <c r="E39" i="1" s="1"/>
  <c r="D40" i="1"/>
  <c r="E40" i="1" s="1"/>
  <c r="D41" i="1"/>
  <c r="E41" i="1" s="1"/>
  <c r="D32" i="1"/>
  <c r="E32" i="1" s="1"/>
  <c r="D18" i="1"/>
  <c r="E18" i="1" s="1"/>
  <c r="D17" i="1"/>
  <c r="E17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16" i="1"/>
  <c r="E16" i="1" s="1"/>
  <c r="E36" i="1"/>
  <c r="E38" i="1"/>
  <c r="D31" i="1"/>
  <c r="E31" i="1" s="1"/>
  <c r="G22" i="24" l="1"/>
  <c r="H22" i="24" s="1"/>
  <c r="H33" i="23"/>
  <c r="H32" i="23"/>
  <c r="H34" i="23"/>
  <c r="H35" i="23"/>
  <c r="G64" i="21"/>
  <c r="H64" i="21" s="1"/>
  <c r="H24" i="21"/>
  <c r="G48" i="21"/>
  <c r="H48" i="21" s="1"/>
  <c r="F64" i="21"/>
  <c r="H25" i="21"/>
  <c r="G49" i="21"/>
  <c r="H49" i="21" s="1"/>
  <c r="G50" i="21"/>
  <c r="H50" i="21" s="1"/>
  <c r="G59" i="21"/>
  <c r="H59" i="21" s="1"/>
  <c r="G61" i="21"/>
  <c r="H61" i="21" s="1"/>
  <c r="G54" i="21"/>
  <c r="H54" i="21" s="1"/>
  <c r="F53" i="21"/>
  <c r="G53" i="21" s="1"/>
  <c r="H53" i="21" s="1"/>
  <c r="G58" i="21"/>
  <c r="H58" i="21" s="1"/>
  <c r="G62" i="21"/>
  <c r="H62" i="21" s="1"/>
  <c r="H15" i="21"/>
  <c r="G55" i="21"/>
  <c r="H55" i="21" s="1"/>
  <c r="F51" i="21"/>
  <c r="G51" i="21" s="1"/>
  <c r="H51" i="21" s="1"/>
  <c r="H16" i="21"/>
  <c r="F49" i="21"/>
  <c r="H18" i="21"/>
  <c r="G63" i="21"/>
  <c r="H63" i="21" s="1"/>
  <c r="G52" i="21"/>
  <c r="H52" i="21" s="1"/>
  <c r="F48" i="21"/>
  <c r="G46" i="21"/>
  <c r="H46" i="21" s="1"/>
  <c r="H17" i="21"/>
  <c r="H33" i="21"/>
  <c r="F47" i="21"/>
  <c r="G47" i="21" s="1"/>
  <c r="H47" i="21" s="1"/>
  <c r="G60" i="21"/>
  <c r="H60" i="21" s="1"/>
  <c r="G66" i="21"/>
  <c r="H66" i="21" s="1"/>
  <c r="G68" i="21"/>
  <c r="H68" i="21" s="1"/>
  <c r="G69" i="21"/>
  <c r="H69" i="21" s="1"/>
  <c r="G67" i="21"/>
  <c r="H67" i="21" s="1"/>
  <c r="G56" i="21"/>
  <c r="H56" i="21" s="1"/>
  <c r="G65" i="21"/>
  <c r="H65" i="21" s="1"/>
  <c r="H19" i="21"/>
  <c r="H20" i="21"/>
  <c r="H36" i="21"/>
  <c r="H21" i="21"/>
  <c r="H37" i="21"/>
  <c r="H26" i="21"/>
  <c r="H34" i="21"/>
  <c r="H35" i="21"/>
  <c r="H32" i="21"/>
  <c r="H22" i="21"/>
  <c r="H23" i="21"/>
  <c r="H27" i="21"/>
  <c r="H28" i="21"/>
  <c r="H29" i="21"/>
  <c r="H30" i="21"/>
  <c r="H31" i="21"/>
  <c r="B90" i="20"/>
  <c r="B39" i="20"/>
  <c r="A38" i="20"/>
  <c r="G63" i="17"/>
  <c r="H63" i="17" s="1"/>
  <c r="G61" i="17"/>
  <c r="H61" i="17" s="1"/>
  <c r="G62" i="17"/>
  <c r="H62" i="17" s="1"/>
  <c r="G64" i="17"/>
  <c r="H64" i="17" s="1"/>
  <c r="G60" i="17"/>
  <c r="H60" i="17" s="1"/>
  <c r="G46" i="17"/>
  <c r="H46" i="17" s="1"/>
  <c r="G52" i="17"/>
  <c r="H52" i="17" s="1"/>
  <c r="G49" i="17"/>
  <c r="H49" i="17" s="1"/>
  <c r="G50" i="17"/>
  <c r="H50" i="17" s="1"/>
  <c r="G65" i="17"/>
  <c r="H65" i="17" s="1"/>
  <c r="G53" i="17"/>
  <c r="H53" i="17" s="1"/>
  <c r="G55" i="17"/>
  <c r="H55" i="17" s="1"/>
  <c r="G56" i="17"/>
  <c r="H56" i="17" s="1"/>
  <c r="G66" i="17"/>
  <c r="H66" i="17" s="1"/>
  <c r="G51" i="17"/>
  <c r="H51" i="17" s="1"/>
  <c r="G54" i="17"/>
  <c r="H54" i="17" s="1"/>
  <c r="G57" i="17"/>
  <c r="H57" i="17" s="1"/>
  <c r="G58" i="17"/>
  <c r="H58" i="17" s="1"/>
  <c r="G59" i="17"/>
  <c r="H59" i="17" s="1"/>
  <c r="G30" i="17"/>
  <c r="H30" i="17" s="1"/>
  <c r="G31" i="17"/>
  <c r="H31" i="17" s="1"/>
  <c r="G32" i="17"/>
  <c r="H32" i="17" s="1"/>
  <c r="G33" i="17"/>
  <c r="H33" i="17" s="1"/>
  <c r="G29" i="17"/>
  <c r="H29" i="17" s="1"/>
  <c r="G34" i="17"/>
  <c r="H34" i="17" s="1"/>
  <c r="G35" i="17"/>
  <c r="H35" i="17" s="1"/>
  <c r="H52" i="16"/>
  <c r="H66" i="16"/>
  <c r="H57" i="16"/>
  <c r="H58" i="16"/>
  <c r="H59" i="16"/>
  <c r="H60" i="16"/>
  <c r="H61" i="16"/>
  <c r="H62" i="16"/>
  <c r="H63" i="16"/>
  <c r="H48" i="16"/>
  <c r="H64" i="16"/>
  <c r="H22" i="16"/>
  <c r="H25" i="16"/>
  <c r="H28" i="16"/>
  <c r="H29" i="16"/>
  <c r="H31" i="16"/>
  <c r="H32" i="16"/>
  <c r="H17" i="16"/>
  <c r="H33" i="16"/>
  <c r="H30" i="16"/>
  <c r="H18" i="16"/>
  <c r="H34" i="16"/>
  <c r="H52" i="15"/>
  <c r="H54" i="15"/>
  <c r="H57" i="15"/>
  <c r="H59" i="15"/>
  <c r="H60" i="15"/>
  <c r="H64" i="15"/>
  <c r="H49" i="15"/>
  <c r="H65" i="15"/>
  <c r="H34" i="15"/>
  <c r="H29" i="15"/>
  <c r="G31" i="13"/>
  <c r="H31" i="13" s="1"/>
  <c r="H17" i="13"/>
  <c r="G20" i="13"/>
  <c r="H20" i="13" s="1"/>
  <c r="G23" i="13"/>
  <c r="H23" i="13" s="1"/>
  <c r="G26" i="13"/>
  <c r="H26" i="13" s="1"/>
  <c r="G27" i="13"/>
  <c r="H27" i="13" s="1"/>
  <c r="G58" i="13"/>
  <c r="H58" i="13" s="1"/>
  <c r="G59" i="13"/>
  <c r="H59" i="13" s="1"/>
  <c r="G61" i="13"/>
  <c r="H61" i="13" s="1"/>
  <c r="G60" i="13"/>
  <c r="H60" i="13" s="1"/>
  <c r="G62" i="13"/>
  <c r="H62" i="13" s="1"/>
  <c r="G47" i="13"/>
  <c r="H47" i="13" s="1"/>
  <c r="G63" i="13"/>
  <c r="H63" i="13" s="1"/>
  <c r="G51" i="13"/>
  <c r="H51" i="13" s="1"/>
  <c r="G56" i="13"/>
  <c r="H56" i="13" s="1"/>
  <c r="G45" i="13"/>
  <c r="H45" i="13" s="1"/>
  <c r="H63" i="12"/>
  <c r="H51" i="12"/>
  <c r="H52" i="12"/>
  <c r="H53" i="12"/>
  <c r="H49" i="12"/>
  <c r="H59" i="12"/>
  <c r="H54" i="12"/>
  <c r="H55" i="12"/>
  <c r="H56" i="12"/>
  <c r="H57" i="12"/>
  <c r="H58" i="12"/>
  <c r="H60" i="12"/>
  <c r="H61" i="12"/>
  <c r="H64" i="12"/>
  <c r="H65" i="12"/>
  <c r="H50" i="12"/>
  <c r="H66" i="12"/>
  <c r="H33" i="12"/>
  <c r="H23" i="12"/>
  <c r="H35" i="12"/>
  <c r="H34" i="12"/>
  <c r="H27" i="12"/>
  <c r="H17" i="12"/>
  <c r="H28" i="12"/>
  <c r="H52" i="11"/>
  <c r="F47" i="11"/>
  <c r="G47" i="11" s="1"/>
  <c r="H47" i="11" s="1"/>
  <c r="F46" i="11"/>
  <c r="G46" i="11" s="1"/>
  <c r="H46" i="11" s="1"/>
  <c r="H53" i="11"/>
  <c r="F64" i="11"/>
  <c r="G64" i="11" s="1"/>
  <c r="H64" i="11" s="1"/>
  <c r="F66" i="11"/>
  <c r="G66" i="11" s="1"/>
  <c r="H66" i="11" s="1"/>
  <c r="F65" i="11"/>
  <c r="G65" i="11" s="1"/>
  <c r="H65" i="11" s="1"/>
  <c r="F63" i="11"/>
  <c r="G63" i="11" s="1"/>
  <c r="H63" i="11" s="1"/>
  <c r="H59" i="11"/>
  <c r="G31" i="11"/>
  <c r="H31" i="11" s="1"/>
  <c r="H26" i="11"/>
  <c r="H60" i="11"/>
  <c r="H62" i="11"/>
  <c r="H54" i="11"/>
  <c r="H55" i="11"/>
  <c r="H56" i="11"/>
  <c r="H50" i="11"/>
  <c r="H48" i="11"/>
  <c r="H49" i="11"/>
  <c r="H51" i="11"/>
  <c r="H57" i="11"/>
  <c r="H58" i="11"/>
  <c r="H61" i="11"/>
  <c r="H60" i="10"/>
  <c r="H61" i="10"/>
  <c r="H62" i="10"/>
  <c r="H63" i="10"/>
  <c r="H64" i="10"/>
  <c r="H35" i="10"/>
  <c r="H28" i="10"/>
  <c r="H29" i="10"/>
  <c r="H19" i="10"/>
  <c r="H30" i="10"/>
  <c r="H30" i="8"/>
  <c r="H29" i="8"/>
  <c r="H28" i="8"/>
  <c r="F60" i="6"/>
  <c r="G60" i="6" s="1"/>
  <c r="G65" i="6"/>
  <c r="G64" i="6"/>
  <c r="G55" i="6"/>
  <c r="G53" i="6"/>
  <c r="G54" i="6"/>
  <c r="G66" i="6"/>
  <c r="G56" i="6"/>
  <c r="G45" i="6"/>
  <c r="G30" i="6"/>
  <c r="G34" i="6"/>
  <c r="G35" i="6"/>
  <c r="G33" i="6"/>
  <c r="G31" i="6"/>
  <c r="G32" i="6"/>
  <c r="G20" i="6"/>
  <c r="A39" i="20" l="1"/>
  <c r="B40" i="20"/>
  <c r="B91" i="20"/>
  <c r="A90" i="20"/>
  <c r="B92" i="20" l="1"/>
  <c r="A91" i="20"/>
  <c r="B41" i="20"/>
  <c r="A40" i="20"/>
  <c r="B42" i="20" l="1"/>
  <c r="A41" i="20"/>
  <c r="B93" i="20"/>
  <c r="A92" i="20"/>
  <c r="B94" i="20" l="1"/>
  <c r="A93" i="20"/>
  <c r="B43" i="20"/>
  <c r="A42" i="20"/>
  <c r="B44" i="20" l="1"/>
  <c r="A43" i="20"/>
  <c r="A94" i="20"/>
  <c r="B95" i="20"/>
  <c r="A95" i="20" l="1"/>
  <c r="B96" i="20"/>
  <c r="B45" i="20"/>
  <c r="A44" i="20"/>
  <c r="A45" i="20" l="1"/>
  <c r="B46" i="20"/>
  <c r="B97" i="20"/>
  <c r="A96" i="20"/>
  <c r="B98" i="20" l="1"/>
  <c r="A97" i="20"/>
  <c r="B47" i="20"/>
  <c r="A46" i="20"/>
  <c r="B48" i="20" l="1"/>
  <c r="A47" i="20"/>
  <c r="B99" i="20"/>
  <c r="A98" i="20"/>
  <c r="B100" i="20" l="1"/>
  <c r="A99" i="20"/>
  <c r="B49" i="20"/>
  <c r="A48" i="20"/>
  <c r="B50" i="20" l="1"/>
  <c r="A49" i="20"/>
  <c r="A100" i="20"/>
  <c r="B101" i="20"/>
  <c r="B102" i="20" l="1"/>
  <c r="A101" i="20"/>
  <c r="A50" i="20"/>
  <c r="B51" i="20"/>
  <c r="B52" i="20" l="1"/>
  <c r="A51" i="20"/>
  <c r="B103" i="20"/>
  <c r="A102" i="20"/>
  <c r="B104" i="20" l="1"/>
  <c r="A103" i="20"/>
  <c r="B53" i="20"/>
  <c r="A52" i="20"/>
  <c r="A53" i="20" l="1"/>
  <c r="B54" i="20"/>
  <c r="B105" i="20"/>
  <c r="A104" i="20"/>
  <c r="A105" i="20" l="1"/>
  <c r="B106" i="20"/>
  <c r="B55" i="20"/>
  <c r="A54" i="20"/>
  <c r="A55" i="20" l="1"/>
  <c r="B56" i="20"/>
  <c r="B107" i="20"/>
  <c r="A106" i="20"/>
  <c r="B108" i="20" l="1"/>
  <c r="A107" i="20"/>
  <c r="B57" i="20"/>
  <c r="A56" i="20"/>
  <c r="B58" i="20" l="1"/>
  <c r="A57" i="20"/>
  <c r="B109" i="20"/>
  <c r="A108" i="20"/>
  <c r="B110" i="20" l="1"/>
  <c r="A110" i="20" s="1"/>
  <c r="A109" i="20"/>
  <c r="B59" i="20"/>
  <c r="A58" i="20"/>
  <c r="B60" i="20" l="1"/>
  <c r="A60" i="20" s="1"/>
  <c r="A59" i="20"/>
</calcChain>
</file>

<file path=xl/sharedStrings.xml><?xml version="1.0" encoding="utf-8"?>
<sst xmlns="http://schemas.openxmlformats.org/spreadsheetml/2006/main" count="511" uniqueCount="39">
  <si>
    <t>area</t>
    <phoneticPr fontId="1" type="noConversion"/>
  </si>
  <si>
    <t>ppm</t>
    <phoneticPr fontId="1" type="noConversion"/>
  </si>
  <si>
    <t>time/h</t>
    <phoneticPr fontId="1" type="noConversion"/>
  </si>
  <si>
    <t>calculated  ppm</t>
    <phoneticPr fontId="1" type="noConversion"/>
  </si>
  <si>
    <t>Cl</t>
    <phoneticPr fontId="1" type="noConversion"/>
  </si>
  <si>
    <t>SO4</t>
    <phoneticPr fontId="1" type="noConversion"/>
  </si>
  <si>
    <t>稀释2倍(mol/L)</t>
    <phoneticPr fontId="1" type="noConversion"/>
  </si>
  <si>
    <t>rw</t>
    <phoneticPr fontId="1" type="noConversion"/>
  </si>
  <si>
    <t>40 mL A600, pass 100 mg/L SO4 using Na2SO4</t>
  </si>
  <si>
    <t>mg/L</t>
  </si>
  <si>
    <t>BV</t>
  </si>
  <si>
    <t>V,mL</t>
  </si>
  <si>
    <t>稀释20倍(mol/L)</t>
    <phoneticPr fontId="1" type="noConversion"/>
  </si>
  <si>
    <t>mg/L</t>
    <phoneticPr fontId="1" type="noConversion"/>
  </si>
  <si>
    <t xml:space="preserve">Same 40 mL A600 </t>
    <phoneticPr fontId="1" type="noConversion"/>
  </si>
  <si>
    <t>Same 40 mL A600 using 4L 5000mg/L SO4-(Na2SO4)</t>
    <phoneticPr fontId="1" type="noConversion"/>
  </si>
  <si>
    <t>稀释100倍(mol/L)</t>
    <phoneticPr fontId="1" type="noConversion"/>
  </si>
  <si>
    <t>number</t>
    <phoneticPr fontId="1" type="noConversion"/>
  </si>
  <si>
    <t>V</t>
    <phoneticPr fontId="1" type="noConversion"/>
  </si>
  <si>
    <t xml:space="preserve"> 40 mL A520 using 4L 100mg/L SO4-(Na2SO4)</t>
    <phoneticPr fontId="1" type="noConversion"/>
  </si>
  <si>
    <t>SO4修正</t>
    <phoneticPr fontId="1" type="noConversion"/>
  </si>
  <si>
    <t>cl修正</t>
    <phoneticPr fontId="1" type="noConversion"/>
  </si>
  <si>
    <t>修正后area</t>
    <phoneticPr fontId="1" type="noConversion"/>
  </si>
  <si>
    <t xml:space="preserve"> 40 mL A600 using 4L 1000mg/L CL-(NaCL)</t>
    <phoneticPr fontId="1" type="noConversion"/>
  </si>
  <si>
    <t xml:space="preserve"> 40 mL A520 using 4L 1000mg/L SO4-(Na2SO4)</t>
    <phoneticPr fontId="1" type="noConversion"/>
  </si>
  <si>
    <t>稀释10倍(mol/L)</t>
    <phoneticPr fontId="1" type="noConversion"/>
  </si>
  <si>
    <t>A600</t>
    <phoneticPr fontId="1" type="noConversion"/>
  </si>
  <si>
    <t xml:space="preserve"> 40 mL A600 using 4L 1000mg/L SO4-(Na2SO4)</t>
    <phoneticPr fontId="1" type="noConversion"/>
  </si>
  <si>
    <t xml:space="preserve"> 40 mL A520 using 4L 1000mg/L CL-(NaCL)</t>
    <phoneticPr fontId="1" type="noConversion"/>
  </si>
  <si>
    <t>100ml C104 using 0.1mol NH4HCO3</t>
    <phoneticPr fontId="1" type="noConversion"/>
  </si>
  <si>
    <t>NH4+</t>
    <phoneticPr fontId="1" type="noConversion"/>
  </si>
  <si>
    <t xml:space="preserve"> 40 mL A520 using 4L seawater(NaCL)</t>
    <phoneticPr fontId="1" type="noConversion"/>
  </si>
  <si>
    <t xml:space="preserve"> 40 mL A600 using 4L seawater(NaCL)</t>
    <phoneticPr fontId="1" type="noConversion"/>
  </si>
  <si>
    <t xml:space="preserve"> 40 mL A600 using 0.5L 0.5mol Na2SO4, then using 1 BV seawater(NaCL)</t>
    <phoneticPr fontId="1" type="noConversion"/>
  </si>
  <si>
    <t xml:space="preserve"> 40 mL A520 using 0.5L 0.5mol Na2SO4, then using 1 BV seawater(NaCL)</t>
    <phoneticPr fontId="1" type="noConversion"/>
  </si>
  <si>
    <t xml:space="preserve"> 40 mL A520 using 0.5L 0.5mol Na2SO4</t>
    <phoneticPr fontId="1" type="noConversion"/>
  </si>
  <si>
    <t xml:space="preserve"> 40 mL A600 using 0.5L 0.5mol Na2SO4</t>
    <phoneticPr fontId="1" type="noConversion"/>
  </si>
  <si>
    <t>100ml C104 using 0.1mol LiCl</t>
    <phoneticPr fontId="1" type="noConversion"/>
  </si>
  <si>
    <t>Li+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</si>
</sst>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_ "/>
  </numFmts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 applyAlignment="1">
      <alignment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164" fontId="0" fillId="0" borderId="0" xfId="0" applyNumberFormat="1"/>
    <xf numFmtId="0" fontId="2" fillId="3" borderId="0" xfId="0" applyFont="1" applyFill="1"/>
    <xf numFmtId="0" fontId="2" fillId="4" borderId="0" xfId="0" applyFon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SO4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'0121'!$C$3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('0121'!$B$4:$B$8,'0121'!$B$4:$B$9)</c:f>
              <c:numCache>
                <c:formatCode>General</c:formatCode>
                <c:ptCount val="11"/>
                <c:pt idx="0">
                  <c:v>0</c:v>
                </c:pt>
                <c:pt idx="1">
                  <c:v>0.24769219999999997</c:v>
                </c:pt>
                <c:pt idx="2">
                  <c:v>1.1740372000000001</c:v>
                </c:pt>
                <c:pt idx="3">
                  <c:v>2.4139132000000001</c:v>
                </c:pt>
                <c:pt idx="4">
                  <c:v>5.1133242000000001</c:v>
                </c:pt>
                <c:pt idx="5">
                  <c:v>0</c:v>
                </c:pt>
                <c:pt idx="6">
                  <c:v>0.24769219999999997</c:v>
                </c:pt>
                <c:pt idx="7">
                  <c:v>1.1740372000000001</c:v>
                </c:pt>
                <c:pt idx="8">
                  <c:v>2.4139132000000001</c:v>
                </c:pt>
                <c:pt idx="9">
                  <c:v>5.1133242000000001</c:v>
                </c:pt>
                <c:pt idx="10">
                  <c:v>29.071510199999999</c:v>
                </c:pt>
              </c:numCache>
            </c:numRef>
          </c:xVal>
          <c:yVal>
            <c:numRef>
              <c:f>('0121'!$C$4:$C$8,'0121'!$C$4:$C$9)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0</c:v>
                </c:pt>
                <c:pt idx="6">
                  <c:v>1</c:v>
                </c:pt>
                <c:pt idx="7">
                  <c:v>5</c:v>
                </c:pt>
                <c:pt idx="8">
                  <c:v>10</c:v>
                </c:pt>
                <c:pt idx="9">
                  <c:v>20</c:v>
                </c:pt>
                <c:pt idx="1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B85-472C-B5F8-158CC67FC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'0121'!$C$3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'0121'!$F$5:$F$9</c:f>
              <c:numCache>
                <c:formatCode>General</c:formatCode>
                <c:ptCount val="5"/>
                <c:pt idx="0">
                  <c:v>0.33158799999999999</c:v>
                </c:pt>
                <c:pt idx="1">
                  <c:v>1.7183219999999999</c:v>
                </c:pt>
                <c:pt idx="2">
                  <c:v>3.6751610000000001</c:v>
                </c:pt>
                <c:pt idx="3">
                  <c:v>7.801539</c:v>
                </c:pt>
                <c:pt idx="4">
                  <c:v>41.845421999999999</c:v>
                </c:pt>
              </c:numCache>
            </c:numRef>
          </c:xVal>
          <c:yVal>
            <c:numRef>
              <c:f>'0121'!$G$5:$G$9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B9-421D-9654-D97AC17AE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'0121'!$C$14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'0121'!$B$16:$B$26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'0121'!$E$16:$E$26</c:f>
              <c:numCache>
                <c:formatCode>0.0000000000_ </c:formatCode>
                <c:ptCount val="11"/>
                <c:pt idx="0">
                  <c:v>9.6257119695999992E-4</c:v>
                </c:pt>
                <c:pt idx="1">
                  <c:v>1.8112463599999995E-6</c:v>
                </c:pt>
                <c:pt idx="2">
                  <c:v>1.9435559999999727E-8</c:v>
                </c:pt>
                <c:pt idx="3">
                  <c:v>-8.2380106666666189E-8</c:v>
                </c:pt>
                <c:pt idx="4">
                  <c:v>1.7168802666666682E-7</c:v>
                </c:pt>
                <c:pt idx="5">
                  <c:v>1.7255762666666665E-7</c:v>
                </c:pt>
                <c:pt idx="6">
                  <c:v>-3.3030306666667118E-8</c:v>
                </c:pt>
                <c:pt idx="7">
                  <c:v>3.2698409333333288E-7</c:v>
                </c:pt>
                <c:pt idx="8">
                  <c:v>-4.5819224000000024E-7</c:v>
                </c:pt>
                <c:pt idx="9">
                  <c:v>-2.350673733333337E-7</c:v>
                </c:pt>
                <c:pt idx="10">
                  <c:v>-2.5209704000000026E-7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17-49F2-9DF1-8A54FA7FFA49}"/>
            </c:ext>
          </c:extLst>
        </c:ser>
        <c:ser>
          <c:idx val="1"/>
          <c:order val="1"/>
          <c:tx>
            <c:strRef>
              <c:f>'0121'!$C$29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'0121'!$B$31:$B$41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'0121'!$E$31:$E$41</c:f>
              <c:numCache>
                <c:formatCode>0.0000000000_ </c:formatCode>
                <c:ptCount val="11"/>
                <c:pt idx="0">
                  <c:v>0</c:v>
                </c:pt>
                <c:pt idx="1">
                  <c:v>2.0975500468507044E-3</c:v>
                </c:pt>
                <c:pt idx="2">
                  <c:v>2.2145360881690142E-3</c:v>
                </c:pt>
                <c:pt idx="3">
                  <c:v>2.1492411386028168E-3</c:v>
                </c:pt>
                <c:pt idx="4">
                  <c:v>2.1098826903887323E-3</c:v>
                </c:pt>
                <c:pt idx="5">
                  <c:v>2.0659418701521122E-3</c:v>
                </c:pt>
                <c:pt idx="6">
                  <c:v>2.0422342509859152E-3</c:v>
                </c:pt>
                <c:pt idx="7">
                  <c:v>2.0263967807605632E-3</c:v>
                </c:pt>
                <c:pt idx="8">
                  <c:v>2.0347017049859154E-3</c:v>
                </c:pt>
                <c:pt idx="9">
                  <c:v>2.0189980325633797E-3</c:v>
                </c:pt>
                <c:pt idx="10">
                  <c:v>2.1226363239830984E-3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17-49F2-9DF1-8A54FA7FF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SO4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'0212'!$C$3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('0212'!$B$4:$B$8,'0212'!$B$4:$B$9)</c:f>
              <c:numCache>
                <c:formatCode>General</c:formatCode>
                <c:ptCount val="11"/>
                <c:pt idx="0">
                  <c:v>0</c:v>
                </c:pt>
                <c:pt idx="1">
                  <c:v>1.215401</c:v>
                </c:pt>
                <c:pt idx="2">
                  <c:v>2.4209480000000001</c:v>
                </c:pt>
                <c:pt idx="3">
                  <c:v>3.7355399999999999</c:v>
                </c:pt>
                <c:pt idx="4">
                  <c:v>6.4413840000000002</c:v>
                </c:pt>
                <c:pt idx="5">
                  <c:v>0</c:v>
                </c:pt>
                <c:pt idx="6">
                  <c:v>1.215401</c:v>
                </c:pt>
                <c:pt idx="7">
                  <c:v>2.4209480000000001</c:v>
                </c:pt>
                <c:pt idx="8">
                  <c:v>3.7355399999999999</c:v>
                </c:pt>
                <c:pt idx="9">
                  <c:v>6.4413840000000002</c:v>
                </c:pt>
              </c:numCache>
            </c:numRef>
          </c:xVal>
          <c:yVal>
            <c:numRef>
              <c:f>('0212'!$C$4:$C$8,'0212'!$C$4:$C$9)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00-44DD-87EC-4618F4F26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'0212'!$C$3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'0212'!$F$5:$F$9</c:f>
              <c:numCache>
                <c:formatCode>General</c:formatCode>
                <c:ptCount val="5"/>
                <c:pt idx="0">
                  <c:v>0.29508899999999999</c:v>
                </c:pt>
                <c:pt idx="1">
                  <c:v>1.6029409999999999</c:v>
                </c:pt>
                <c:pt idx="2">
                  <c:v>3.4605260000000002</c:v>
                </c:pt>
                <c:pt idx="3">
                  <c:v>7.4193959999999999</c:v>
                </c:pt>
                <c:pt idx="4">
                  <c:v>40.013109999999998</c:v>
                </c:pt>
              </c:numCache>
            </c:numRef>
          </c:xVal>
          <c:yVal>
            <c:numRef>
              <c:f>'0212'!$G$5:$G$9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38-4A13-95B2-49B9C5FE5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'0212'!$D$14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'0212'!$A$16:$A$26</c:f>
              <c:numCache>
                <c:formatCode>General</c:formatCode>
                <c:ptCount val="1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</c:numCache>
            </c:numRef>
          </c:xVal>
          <c:yVal>
            <c:numRef>
              <c:f>'0212'!$F$16:$F$26</c:f>
              <c:numCache>
                <c:formatCode>0.0000000000_ </c:formatCode>
                <c:ptCount val="11"/>
                <c:pt idx="0">
                  <c:v>1.1107636552791667E-3</c:v>
                </c:pt>
                <c:pt idx="1">
                  <c:v>5.5113698041666669E-6</c:v>
                </c:pt>
                <c:pt idx="2">
                  <c:v>5.7478398833333339E-6</c:v>
                </c:pt>
                <c:pt idx="3">
                  <c:v>6.1993573791666664E-6</c:v>
                </c:pt>
                <c:pt idx="4">
                  <c:v>5.9065809916666671E-6</c:v>
                </c:pt>
                <c:pt idx="5">
                  <c:v>6.1199047458333341E-6</c:v>
                </c:pt>
                <c:pt idx="6">
                  <c:v>6.1410811708333335E-6</c:v>
                </c:pt>
                <c:pt idx="7">
                  <c:v>6.2170043999999998E-6</c:v>
                </c:pt>
                <c:pt idx="8">
                  <c:v>6.2557457666666669E-6</c:v>
                </c:pt>
                <c:pt idx="9">
                  <c:v>6.3947057958333338E-6</c:v>
                </c:pt>
                <c:pt idx="10">
                  <c:v>6.2480303249999999E-6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2A-4866-B7DF-343030EC2130}"/>
            </c:ext>
          </c:extLst>
        </c:ser>
        <c:ser>
          <c:idx val="1"/>
          <c:order val="1"/>
          <c:tx>
            <c:strRef>
              <c:f>'0212'!$C$29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'0212'!$A$31:$A$41</c:f>
              <c:numCache>
                <c:formatCode>General</c:formatCode>
                <c:ptCount val="1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</c:numCache>
            </c:numRef>
          </c:xVal>
          <c:yVal>
            <c:numRef>
              <c:f>'0212'!$E$31:$E$41</c:f>
              <c:numCache>
                <c:formatCode>0.0000000000_ </c:formatCode>
                <c:ptCount val="11"/>
                <c:pt idx="0">
                  <c:v>0</c:v>
                </c:pt>
                <c:pt idx="1">
                  <c:v>2.0189399710140842E-3</c:v>
                </c:pt>
                <c:pt idx="2">
                  <c:v>2.0866098049014087E-3</c:v>
                </c:pt>
                <c:pt idx="3">
                  <c:v>2.0709050004507042E-3</c:v>
                </c:pt>
                <c:pt idx="4">
                  <c:v>2.0511728372957748E-3</c:v>
                </c:pt>
                <c:pt idx="5">
                  <c:v>2.0594160146197183E-3</c:v>
                </c:pt>
                <c:pt idx="6">
                  <c:v>2.0474835188450708E-3</c:v>
                </c:pt>
                <c:pt idx="7">
                  <c:v>2.0502182376338023E-3</c:v>
                </c:pt>
                <c:pt idx="8">
                  <c:v>2.0619648183380287E-3</c:v>
                </c:pt>
                <c:pt idx="9">
                  <c:v>2.0639693079718309E-3</c:v>
                </c:pt>
                <c:pt idx="10">
                  <c:v>2.1451153689295774E-3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2A-4866-B7DF-343030EC2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SO4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'0219'!$C$2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('0219'!$B$3:$B$7,'0219'!$B$3:$B$8)</c:f>
              <c:numCache>
                <c:formatCode>General</c:formatCode>
                <c:ptCount val="11"/>
                <c:pt idx="0">
                  <c:v>0</c:v>
                </c:pt>
                <c:pt idx="1">
                  <c:v>1.370846</c:v>
                </c:pt>
                <c:pt idx="2">
                  <c:v>2.684018</c:v>
                </c:pt>
                <c:pt idx="3">
                  <c:v>4.1423709999999998</c:v>
                </c:pt>
                <c:pt idx="4">
                  <c:v>7.0945499999999999</c:v>
                </c:pt>
                <c:pt idx="5">
                  <c:v>0</c:v>
                </c:pt>
                <c:pt idx="6">
                  <c:v>1.370846</c:v>
                </c:pt>
                <c:pt idx="7">
                  <c:v>2.684018</c:v>
                </c:pt>
                <c:pt idx="8">
                  <c:v>4.1423709999999998</c:v>
                </c:pt>
                <c:pt idx="9">
                  <c:v>7.0945499999999999</c:v>
                </c:pt>
              </c:numCache>
            </c:numRef>
          </c:xVal>
          <c:yVal>
            <c:numRef>
              <c:f>('0219'!$C$3:$C$7,'0219'!$C$3:$C$8)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98-4FDD-AC80-1A8EEF8DF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'0219'!$C$2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'0219'!$F$4:$F$8</c:f>
              <c:numCache>
                <c:formatCode>General</c:formatCode>
                <c:ptCount val="5"/>
                <c:pt idx="0">
                  <c:v>0.33787499999999998</c:v>
                </c:pt>
                <c:pt idx="1">
                  <c:v>1.8081879999999999</c:v>
                </c:pt>
                <c:pt idx="2">
                  <c:v>3.860652</c:v>
                </c:pt>
                <c:pt idx="3">
                  <c:v>8.0722190000000005</c:v>
                </c:pt>
                <c:pt idx="4">
                  <c:v>42.398018999999998</c:v>
                </c:pt>
              </c:numCache>
            </c:numRef>
          </c:xVal>
          <c:yVal>
            <c:numRef>
              <c:f>'0219'!$G$4:$G$8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87-48AB-8B81-FB062EA48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'0219'!$C$12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'0219'!$B$14:$B$24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'0219'!$E$14:$E$24</c:f>
              <c:numCache>
                <c:formatCode>0.0000000000_ </c:formatCode>
                <c:ptCount val="11"/>
                <c:pt idx="0">
                  <c:v>1.1000408333333333E-2</c:v>
                </c:pt>
                <c:pt idx="1">
                  <c:v>5.0453967437499996E-5</c:v>
                </c:pt>
                <c:pt idx="2">
                  <c:v>4.9172568520833326E-5</c:v>
                </c:pt>
                <c:pt idx="3">
                  <c:v>4.9657924374999995E-5</c:v>
                </c:pt>
                <c:pt idx="4">
                  <c:v>4.8376525458333338E-5</c:v>
                </c:pt>
                <c:pt idx="5">
                  <c:v>4.9006819124999998E-5</c:v>
                </c:pt>
                <c:pt idx="6">
                  <c:v>4.913243189583333E-5</c:v>
                </c:pt>
                <c:pt idx="7">
                  <c:v>4.8430784229166661E-5</c:v>
                </c:pt>
                <c:pt idx="8">
                  <c:v>4.9043982666666657E-5</c:v>
                </c:pt>
                <c:pt idx="9">
                  <c:v>4.8932492041666666E-5</c:v>
                </c:pt>
                <c:pt idx="10">
                  <c:v>4.9190407020833333E-5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64-4BFF-A4C0-15BFE2F03121}"/>
            </c:ext>
          </c:extLst>
        </c:ser>
        <c:ser>
          <c:idx val="1"/>
          <c:order val="1"/>
          <c:tx>
            <c:strRef>
              <c:f>'0219'!$C$27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'0219'!$B$29:$B$39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'0219'!$E$29:$E$39</c:f>
              <c:numCache>
                <c:formatCode>0.0000000000_ </c:formatCode>
                <c:ptCount val="11"/>
                <c:pt idx="0">
                  <c:v>0</c:v>
                </c:pt>
                <c:pt idx="1">
                  <c:v>4.6932642392112679E-3</c:v>
                </c:pt>
                <c:pt idx="2">
                  <c:v>2.0316084064845072E-2</c:v>
                </c:pt>
                <c:pt idx="3">
                  <c:v>2.0330383802478875E-2</c:v>
                </c:pt>
                <c:pt idx="4">
                  <c:v>2.0381699485690141E-2</c:v>
                </c:pt>
                <c:pt idx="5">
                  <c:v>2.0429538511042258E-2</c:v>
                </c:pt>
                <c:pt idx="6">
                  <c:v>2.0225973463943659E-2</c:v>
                </c:pt>
                <c:pt idx="7">
                  <c:v>2.0457095921746479E-2</c:v>
                </c:pt>
                <c:pt idx="8">
                  <c:v>2.0460819103830987E-2</c:v>
                </c:pt>
                <c:pt idx="9">
                  <c:v>2.043411453369014E-2</c:v>
                </c:pt>
                <c:pt idx="10">
                  <c:v>2.0518268576281692E-2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64-4BFF-A4C0-15BFE2F03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SO4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'0305-600'!$C$2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('0305-600'!$B$3:$B$7,'0305-600'!$B$3:$B$8)</c:f>
              <c:numCache>
                <c:formatCode>General</c:formatCode>
                <c:ptCount val="11"/>
                <c:pt idx="0">
                  <c:v>0</c:v>
                </c:pt>
                <c:pt idx="1">
                  <c:v>1.2407919999999999</c:v>
                </c:pt>
                <c:pt idx="2">
                  <c:v>2.505261</c:v>
                </c:pt>
                <c:pt idx="3">
                  <c:v>3.7897180000000001</c:v>
                </c:pt>
                <c:pt idx="4">
                  <c:v>6.5928279999999999</c:v>
                </c:pt>
                <c:pt idx="5">
                  <c:v>0</c:v>
                </c:pt>
                <c:pt idx="6">
                  <c:v>1.2407919999999999</c:v>
                </c:pt>
                <c:pt idx="7">
                  <c:v>2.505261</c:v>
                </c:pt>
                <c:pt idx="8">
                  <c:v>3.7897180000000001</c:v>
                </c:pt>
                <c:pt idx="9">
                  <c:v>6.5928279999999999</c:v>
                </c:pt>
              </c:numCache>
            </c:numRef>
          </c:xVal>
          <c:yVal>
            <c:numRef>
              <c:f>('0305-600'!$C$3:$C$7,'0305-600'!$C$3:$C$8)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C3-4575-9421-0E9467163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'0305-600'!$C$2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'0305-600'!$F$4:$F$8</c:f>
              <c:numCache>
                <c:formatCode>General</c:formatCode>
                <c:ptCount val="5"/>
                <c:pt idx="0">
                  <c:v>0.31217</c:v>
                </c:pt>
                <c:pt idx="1">
                  <c:v>1.744783</c:v>
                </c:pt>
                <c:pt idx="2">
                  <c:v>3.7358039999999999</c:v>
                </c:pt>
                <c:pt idx="3">
                  <c:v>7.9735360000000002</c:v>
                </c:pt>
                <c:pt idx="4">
                  <c:v>42.418332999999997</c:v>
                </c:pt>
              </c:numCache>
            </c:numRef>
          </c:xVal>
          <c:yVal>
            <c:numRef>
              <c:f>'0305-600'!$G$4:$G$8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BC-45CD-8FEF-1E7FAF48F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'0305-600'!$D$12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'0305-600'!$C$14:$C$35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</c:numCache>
            </c:numRef>
          </c:xVal>
          <c:yVal>
            <c:numRef>
              <c:f>'0305-600'!$F$14:$F$35</c:f>
              <c:numCache>
                <c:formatCode>0.0000000000_ </c:formatCode>
                <c:ptCount val="22"/>
                <c:pt idx="0">
                  <c:v>4.8202213994791673E-2</c:v>
                </c:pt>
                <c:pt idx="1">
                  <c:v>4.774509166666666E-5</c:v>
                </c:pt>
                <c:pt idx="2">
                  <c:v>1.1590991940625002E-2</c:v>
                </c:pt>
                <c:pt idx="3">
                  <c:v>3.955877909479167E-2</c:v>
                </c:pt>
                <c:pt idx="4">
                  <c:v>4.4992151261458335E-2</c:v>
                </c:pt>
                <c:pt idx="5">
                  <c:v>4.0130110764583338E-2</c:v>
                </c:pt>
                <c:pt idx="6">
                  <c:v>3.7737738915624992E-2</c:v>
                </c:pt>
                <c:pt idx="7">
                  <c:v>5.0828980690624997E-2</c:v>
                </c:pt>
                <c:pt idx="8">
                  <c:v>4.1295286059374998E-2</c:v>
                </c:pt>
                <c:pt idx="9">
                  <c:v>4.4910824866666664E-2</c:v>
                </c:pt>
                <c:pt idx="10">
                  <c:v>3.6525978442708336E-2</c:v>
                </c:pt>
                <c:pt idx="11">
                  <c:v>4.9721178973958328E-2</c:v>
                </c:pt>
                <c:pt idx="12">
                  <c:v>2.6713643681250003E-2</c:v>
                </c:pt>
                <c:pt idx="13">
                  <c:v>3.9414227378125007E-2</c:v>
                </c:pt>
                <c:pt idx="14">
                  <c:v>5.3421226914583335E-2</c:v>
                </c:pt>
                <c:pt idx="15">
                  <c:v>3.6511140379166668E-2</c:v>
                </c:pt>
                <c:pt idx="16">
                  <c:v>5.4518505125000012E-2</c:v>
                </c:pt>
                <c:pt idx="17">
                  <c:v>4.9153716358333335E-2</c:v>
                </c:pt>
                <c:pt idx="18">
                  <c:v>3.2834708117708333E-2</c:v>
                </c:pt>
                <c:pt idx="19">
                  <c:v>4.791289784375001E-2</c:v>
                </c:pt>
                <c:pt idx="20">
                  <c:v>3.6845255682291668E-2</c:v>
                </c:pt>
                <c:pt idx="21">
                  <c:v>2.4878905284374999E-2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D7-45A7-9E46-5FDC29C6EBD0}"/>
            </c:ext>
          </c:extLst>
        </c:ser>
        <c:ser>
          <c:idx val="1"/>
          <c:order val="1"/>
          <c:tx>
            <c:strRef>
              <c:f>'0305-600'!$D$43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'0305-600'!$C$45:$C$66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</c:numCache>
            </c:numRef>
          </c:xVal>
          <c:yVal>
            <c:numRef>
              <c:f>'0305-600'!$F$45:$F$66</c:f>
              <c:numCache>
                <c:formatCode>0.0000000000_ </c:formatCode>
                <c:ptCount val="22"/>
                <c:pt idx="0">
                  <c:v>0</c:v>
                </c:pt>
                <c:pt idx="1">
                  <c:v>2.463408646309859E-2</c:v>
                </c:pt>
                <c:pt idx="2">
                  <c:v>6.3373569516619724E-2</c:v>
                </c:pt>
                <c:pt idx="3">
                  <c:v>1.8510338088732394E-2</c:v>
                </c:pt>
                <c:pt idx="4">
                  <c:v>4.4439123143661975E-3</c:v>
                </c:pt>
                <c:pt idx="5">
                  <c:v>1.2780682008450704E-3</c:v>
                </c:pt>
                <c:pt idx="6">
                  <c:v>5.8185047436619733E-4</c:v>
                </c:pt>
                <c:pt idx="7">
                  <c:v>4.2360191014084508E-4</c:v>
                </c:pt>
                <c:pt idx="8">
                  <c:v>2.483365115492958E-4</c:v>
                </c:pt>
                <c:pt idx="9">
                  <c:v>1.993248304225352E-4</c:v>
                </c:pt>
                <c:pt idx="10">
                  <c:v>1.434237966197183E-4</c:v>
                </c:pt>
                <c:pt idx="11">
                  <c:v>5.9013235577464785E-4</c:v>
                </c:pt>
                <c:pt idx="12">
                  <c:v>9.6597519436619718E-5</c:v>
                </c:pt>
                <c:pt idx="13">
                  <c:v>9.5764667323943662E-5</c:v>
                </c:pt>
                <c:pt idx="14">
                  <c:v>1.1178874197183099E-4</c:v>
                </c:pt>
                <c:pt idx="15">
                  <c:v>7.9300846760563376E-5</c:v>
                </c:pt>
                <c:pt idx="16">
                  <c:v>9.3612577464788739E-5</c:v>
                </c:pt>
                <c:pt idx="17">
                  <c:v>1.0118820028169014E-4</c:v>
                </c:pt>
                <c:pt idx="18">
                  <c:v>8.9948028169014064E-5</c:v>
                </c:pt>
                <c:pt idx="19">
                  <c:v>7.8134853802816907E-5</c:v>
                </c:pt>
                <c:pt idx="20">
                  <c:v>7.6342556056338028E-5</c:v>
                </c:pt>
                <c:pt idx="21">
                  <c:v>3.0332274059154929E-3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D7-45A7-9E46-5FDC29C6E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SO4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'0305-520'!$C$2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('0305-520'!$B$3:$B$7,'0305-520'!$B$3:$B$8)</c:f>
              <c:numCache>
                <c:formatCode>General</c:formatCode>
                <c:ptCount val="11"/>
                <c:pt idx="0">
                  <c:v>0</c:v>
                </c:pt>
                <c:pt idx="1">
                  <c:v>1.2407919999999999</c:v>
                </c:pt>
                <c:pt idx="2">
                  <c:v>2.505261</c:v>
                </c:pt>
                <c:pt idx="3">
                  <c:v>3.7897180000000001</c:v>
                </c:pt>
                <c:pt idx="4">
                  <c:v>6.5928279999999999</c:v>
                </c:pt>
                <c:pt idx="5">
                  <c:v>0</c:v>
                </c:pt>
                <c:pt idx="6">
                  <c:v>1.2407919999999999</c:v>
                </c:pt>
                <c:pt idx="7">
                  <c:v>2.505261</c:v>
                </c:pt>
                <c:pt idx="8">
                  <c:v>3.7897180000000001</c:v>
                </c:pt>
                <c:pt idx="9">
                  <c:v>6.5928279999999999</c:v>
                </c:pt>
              </c:numCache>
            </c:numRef>
          </c:xVal>
          <c:yVal>
            <c:numRef>
              <c:f>('0305-520'!$C$3:$C$7,'0305-520'!$C$3:$C$8)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71-4D0E-B319-C096777C0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'0305-520'!$C$2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'0305-520'!$F$4:$F$8</c:f>
              <c:numCache>
                <c:formatCode>General</c:formatCode>
                <c:ptCount val="5"/>
                <c:pt idx="0">
                  <c:v>0.31217</c:v>
                </c:pt>
                <c:pt idx="1">
                  <c:v>1.744783</c:v>
                </c:pt>
                <c:pt idx="2">
                  <c:v>3.7358039999999999</c:v>
                </c:pt>
                <c:pt idx="3">
                  <c:v>7.9735360000000002</c:v>
                </c:pt>
                <c:pt idx="4">
                  <c:v>42.418332999999997</c:v>
                </c:pt>
              </c:numCache>
            </c:numRef>
          </c:xVal>
          <c:yVal>
            <c:numRef>
              <c:f>'0305-520'!$G$4:$G$8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C-4790-B0CD-EC3DA07F6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'0305-520'!$D$12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'0305-520'!$C$14:$C$35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</c:numCache>
            </c:numRef>
          </c:xVal>
          <c:yVal>
            <c:numRef>
              <c:f>'0305-520'!$F$14:$F$35</c:f>
              <c:numCache>
                <c:formatCode>0.0000000000_ </c:formatCode>
                <c:ptCount val="22"/>
                <c:pt idx="0">
                  <c:v>1.0561197419791666E-3</c:v>
                </c:pt>
                <c:pt idx="1">
                  <c:v>1.1257984375E-6</c:v>
                </c:pt>
                <c:pt idx="2">
                  <c:v>9.6140377083333339E-7</c:v>
                </c:pt>
                <c:pt idx="3">
                  <c:v>1.0752278124999999E-6</c:v>
                </c:pt>
                <c:pt idx="4">
                  <c:v>1.1668971041666667E-6</c:v>
                </c:pt>
                <c:pt idx="5">
                  <c:v>9.3202464583333332E-7</c:v>
                </c:pt>
                <c:pt idx="6">
                  <c:v>1.0086030208333334E-6</c:v>
                </c:pt>
                <c:pt idx="7">
                  <c:v>1.0434405625E-6</c:v>
                </c:pt>
                <c:pt idx="8">
                  <c:v>9.0794339583333324E-7</c:v>
                </c:pt>
                <c:pt idx="9">
                  <c:v>9.1926158333333331E-7</c:v>
                </c:pt>
                <c:pt idx="10">
                  <c:v>1.0527519791666665E-6</c:v>
                </c:pt>
                <c:pt idx="11">
                  <c:v>9.6132350000000013E-7</c:v>
                </c:pt>
                <c:pt idx="12">
                  <c:v>8.8827704166666657E-7</c:v>
                </c:pt>
                <c:pt idx="13">
                  <c:v>8.2092981250000004E-7</c:v>
                </c:pt>
                <c:pt idx="14">
                  <c:v>7.6530212500000009E-7</c:v>
                </c:pt>
                <c:pt idx="15">
                  <c:v>6.583813749999999E-7</c:v>
                </c:pt>
                <c:pt idx="16">
                  <c:v>7.0959416666666667E-7</c:v>
                </c:pt>
                <c:pt idx="17">
                  <c:v>7.9949749999999996E-7</c:v>
                </c:pt>
                <c:pt idx="18">
                  <c:v>7.538233958333334E-7</c:v>
                </c:pt>
                <c:pt idx="19">
                  <c:v>7.5807774999999996E-7</c:v>
                </c:pt>
                <c:pt idx="20">
                  <c:v>6.8687752083333338E-7</c:v>
                </c:pt>
                <c:pt idx="21">
                  <c:v>6.9667056249999993E-7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1F-4CE5-B311-09803D2672B2}"/>
            </c:ext>
          </c:extLst>
        </c:ser>
        <c:ser>
          <c:idx val="1"/>
          <c:order val="1"/>
          <c:tx>
            <c:strRef>
              <c:f>'0305-520'!$D$43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'0305-520'!$C$45:$C$66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</c:numCache>
            </c:numRef>
          </c:xVal>
          <c:yVal>
            <c:numRef>
              <c:f>'0305-520'!$F$45:$F$66</c:f>
              <c:numCache>
                <c:formatCode>0.0000000000_ </c:formatCode>
                <c:ptCount val="22"/>
                <c:pt idx="0">
                  <c:v>0</c:v>
                </c:pt>
                <c:pt idx="1">
                  <c:v>2.4718570981408449E-4</c:v>
                </c:pt>
                <c:pt idx="2">
                  <c:v>1.8289359103380281E-3</c:v>
                </c:pt>
                <c:pt idx="3">
                  <c:v>1.8147043999492956E-3</c:v>
                </c:pt>
                <c:pt idx="4">
                  <c:v>1.8260796939887326E-3</c:v>
                </c:pt>
                <c:pt idx="5">
                  <c:v>1.8263756563154929E-3</c:v>
                </c:pt>
                <c:pt idx="6">
                  <c:v>1.8348936679549292E-3</c:v>
                </c:pt>
                <c:pt idx="7">
                  <c:v>1.8389325343042254E-3</c:v>
                </c:pt>
                <c:pt idx="8">
                  <c:v>1.8549720666873239E-3</c:v>
                </c:pt>
                <c:pt idx="9">
                  <c:v>1.8507202567098592E-3</c:v>
                </c:pt>
                <c:pt idx="10">
                  <c:v>1.8495289450478872E-3</c:v>
                </c:pt>
                <c:pt idx="11">
                  <c:v>1.8543596205577463E-3</c:v>
                </c:pt>
                <c:pt idx="12">
                  <c:v>1.8549988512112673E-3</c:v>
                </c:pt>
                <c:pt idx="13">
                  <c:v>1.8589523002478876E-3</c:v>
                </c:pt>
                <c:pt idx="14">
                  <c:v>1.8613313256507045E-3</c:v>
                </c:pt>
                <c:pt idx="15">
                  <c:v>1.8653410088619719E-3</c:v>
                </c:pt>
                <c:pt idx="16">
                  <c:v>1.871497318422535E-3</c:v>
                </c:pt>
                <c:pt idx="17">
                  <c:v>1.8660180843154931E-3</c:v>
                </c:pt>
                <c:pt idx="18">
                  <c:v>1.8842819314929579E-3</c:v>
                </c:pt>
                <c:pt idx="19">
                  <c:v>1.8740763615887324E-3</c:v>
                </c:pt>
                <c:pt idx="20">
                  <c:v>1.8726014804394365E-3</c:v>
                </c:pt>
                <c:pt idx="21">
                  <c:v>1.8512586123154927E-3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1F-4CE5-B311-09803D267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SO4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'0312-600 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('0312-600 '!$B$3:$B$7,'0312-600 '!$B$3:$B$8)</c:f>
              <c:numCache>
                <c:formatCode>General</c:formatCode>
                <c:ptCount val="11"/>
                <c:pt idx="0">
                  <c:v>0</c:v>
                </c:pt>
                <c:pt idx="1">
                  <c:v>1.1555979999999999</c:v>
                </c:pt>
                <c:pt idx="2">
                  <c:v>2.4431430000000001</c:v>
                </c:pt>
                <c:pt idx="3">
                  <c:v>3.8277220000000001</c:v>
                </c:pt>
                <c:pt idx="4">
                  <c:v>6.7368179999999995</c:v>
                </c:pt>
                <c:pt idx="5">
                  <c:v>0</c:v>
                </c:pt>
                <c:pt idx="6">
                  <c:v>1.1555979999999999</c:v>
                </c:pt>
                <c:pt idx="7">
                  <c:v>2.4431430000000001</c:v>
                </c:pt>
                <c:pt idx="8">
                  <c:v>3.8277220000000001</c:v>
                </c:pt>
                <c:pt idx="9">
                  <c:v>6.7368179999999995</c:v>
                </c:pt>
              </c:numCache>
            </c:numRef>
          </c:xVal>
          <c:yVal>
            <c:numRef>
              <c:f>('0312-600 '!$C$3:$C$7,'0312-600 '!$C$3:$C$8)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BC-4164-8196-B9B225A8F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'0312-600 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'0312-600 '!$F$4:$F$8</c:f>
              <c:numCache>
                <c:formatCode>General</c:formatCode>
                <c:ptCount val="5"/>
                <c:pt idx="0">
                  <c:v>0.31417300000000004</c:v>
                </c:pt>
                <c:pt idx="1">
                  <c:v>1.7871980000000001</c:v>
                </c:pt>
                <c:pt idx="2">
                  <c:v>3.8373300000000001</c:v>
                </c:pt>
                <c:pt idx="3">
                  <c:v>8.1083400000000001</c:v>
                </c:pt>
                <c:pt idx="4">
                  <c:v>43.001058</c:v>
                </c:pt>
              </c:numCache>
            </c:numRef>
          </c:xVal>
          <c:yVal>
            <c:numRef>
              <c:f>'0312-600 '!$G$4:$G$8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06-47FD-A9FA-1F84A6914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'0312-600 '!$D$12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'0312-600 '!$A$16:$A$35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'0312-600 '!$G$16:$G$35</c:f>
              <c:numCache>
                <c:formatCode>0.0000000000_ </c:formatCode>
                <c:ptCount val="20"/>
                <c:pt idx="0">
                  <c:v>1.5624405614979167E-2</c:v>
                </c:pt>
                <c:pt idx="1">
                  <c:v>1.5485657311541666E-2</c:v>
                </c:pt>
                <c:pt idx="2">
                  <c:v>1.4017019332614586E-2</c:v>
                </c:pt>
                <c:pt idx="3">
                  <c:v>1.1536743396052084E-2</c:v>
                </c:pt>
                <c:pt idx="4">
                  <c:v>9.1995159265833328E-3</c:v>
                </c:pt>
                <c:pt idx="5">
                  <c:v>7.4232405878958329E-3</c:v>
                </c:pt>
                <c:pt idx="6">
                  <c:v>5.8743483342291658E-3</c:v>
                </c:pt>
                <c:pt idx="7">
                  <c:v>4.9854842671562495E-3</c:v>
                </c:pt>
                <c:pt idx="8">
                  <c:v>4.2093944377187501E-3</c:v>
                </c:pt>
                <c:pt idx="9">
                  <c:v>3.6566790393124998E-3</c:v>
                </c:pt>
                <c:pt idx="10">
                  <c:v>3.1889957432395828E-3</c:v>
                </c:pt>
                <c:pt idx="11">
                  <c:v>2.8518497629687494E-3</c:v>
                </c:pt>
                <c:pt idx="12">
                  <c:v>2.5009430213541665E-3</c:v>
                </c:pt>
                <c:pt idx="13">
                  <c:v>2.2506403848645833E-3</c:v>
                </c:pt>
                <c:pt idx="14">
                  <c:v>2.037967051895833E-3</c:v>
                </c:pt>
                <c:pt idx="15">
                  <c:v>1.8881805923437495E-3</c:v>
                </c:pt>
                <c:pt idx="16">
                  <c:v>1.7124117494583338E-3</c:v>
                </c:pt>
                <c:pt idx="17">
                  <c:v>1.5485995557812497E-3</c:v>
                </c:pt>
                <c:pt idx="18">
                  <c:v>1.4630109710000001E-3</c:v>
                </c:pt>
                <c:pt idx="19">
                  <c:v>1.5611966548958332E-3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25-488B-8B53-382DC9C09C64}"/>
            </c:ext>
          </c:extLst>
        </c:ser>
        <c:ser>
          <c:idx val="1"/>
          <c:order val="1"/>
          <c:tx>
            <c:strRef>
              <c:f>'0312-600 '!$D$43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'0312-600 '!$A$47:$A$66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'0312-600 '!$G$47:$G$66</c:f>
              <c:numCache>
                <c:formatCode>0.0000000000_ </c:formatCode>
                <c:ptCount val="20"/>
                <c:pt idx="0">
                  <c:v>2.8483874771830983E-4</c:v>
                </c:pt>
                <c:pt idx="1">
                  <c:v>5.8957824399999989E-4</c:v>
                </c:pt>
                <c:pt idx="2">
                  <c:v>2.7561544286197185E-3</c:v>
                </c:pt>
                <c:pt idx="3">
                  <c:v>6.5455256460845079E-3</c:v>
                </c:pt>
                <c:pt idx="4">
                  <c:v>1.0482280579633803E-2</c:v>
                </c:pt>
                <c:pt idx="5">
                  <c:v>1.3311721003549297E-2</c:v>
                </c:pt>
                <c:pt idx="6">
                  <c:v>1.5411756730309862E-2</c:v>
                </c:pt>
                <c:pt idx="7">
                  <c:v>1.7556134358816901E-2</c:v>
                </c:pt>
                <c:pt idx="8">
                  <c:v>1.8817377655352116E-2</c:v>
                </c:pt>
                <c:pt idx="9">
                  <c:v>1.9811013788985917E-2</c:v>
                </c:pt>
                <c:pt idx="10">
                  <c:v>2.0498615609154929E-2</c:v>
                </c:pt>
                <c:pt idx="11">
                  <c:v>2.1415963349070422E-2</c:v>
                </c:pt>
                <c:pt idx="12">
                  <c:v>2.151151099816901E-2</c:v>
                </c:pt>
                <c:pt idx="13">
                  <c:v>2.2053604286732396E-2</c:v>
                </c:pt>
                <c:pt idx="14">
                  <c:v>2.2420552847352108E-2</c:v>
                </c:pt>
                <c:pt idx="15">
                  <c:v>2.3014455254929574E-2</c:v>
                </c:pt>
                <c:pt idx="16">
                  <c:v>2.3064259707746476E-2</c:v>
                </c:pt>
                <c:pt idx="17">
                  <c:v>2.3291274023323941E-2</c:v>
                </c:pt>
                <c:pt idx="18">
                  <c:v>2.3594766682957746E-2</c:v>
                </c:pt>
                <c:pt idx="19">
                  <c:v>2.3487899571154928E-2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25-488B-8B53-382DC9C09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SO4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'0312-520'!$C$2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('0312-520'!$B$3:$B$7,'0312-520'!$B$3:$B$8)</c:f>
              <c:numCache>
                <c:formatCode>General</c:formatCode>
                <c:ptCount val="11"/>
                <c:pt idx="0">
                  <c:v>0</c:v>
                </c:pt>
                <c:pt idx="1">
                  <c:v>1.1555979999999999</c:v>
                </c:pt>
                <c:pt idx="2">
                  <c:v>2.4431430000000001</c:v>
                </c:pt>
                <c:pt idx="3">
                  <c:v>3.8277220000000001</c:v>
                </c:pt>
                <c:pt idx="4">
                  <c:v>6.7368179999999995</c:v>
                </c:pt>
                <c:pt idx="5">
                  <c:v>0</c:v>
                </c:pt>
                <c:pt idx="6">
                  <c:v>1.1555979999999999</c:v>
                </c:pt>
                <c:pt idx="7">
                  <c:v>2.4431430000000001</c:v>
                </c:pt>
                <c:pt idx="8">
                  <c:v>3.8277220000000001</c:v>
                </c:pt>
                <c:pt idx="9">
                  <c:v>6.7368179999999995</c:v>
                </c:pt>
              </c:numCache>
            </c:numRef>
          </c:xVal>
          <c:yVal>
            <c:numRef>
              <c:f>('0312-520'!$C$3:$C$7,'0312-520'!$C$3:$C$8)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12-478B-BDDB-B2375F2F2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'0312-520'!$C$2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'0312-520'!$F$4:$F$8</c:f>
              <c:numCache>
                <c:formatCode>General</c:formatCode>
                <c:ptCount val="5"/>
                <c:pt idx="0">
                  <c:v>0.31417300000000004</c:v>
                </c:pt>
                <c:pt idx="1">
                  <c:v>1.7871980000000001</c:v>
                </c:pt>
                <c:pt idx="2">
                  <c:v>3.8373300000000001</c:v>
                </c:pt>
                <c:pt idx="3">
                  <c:v>8.1083400000000001</c:v>
                </c:pt>
                <c:pt idx="4">
                  <c:v>43.001058</c:v>
                </c:pt>
              </c:numCache>
            </c:numRef>
          </c:xVal>
          <c:yVal>
            <c:numRef>
              <c:f>'0312-520'!$G$4:$G$8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47-4A0B-870A-FC25C41F2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'0312-520'!$D$12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'0312-520'!$A$15:$A$35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'0312-520'!$G$15:$G$35</c:f>
              <c:numCache>
                <c:formatCode>0.0000000000_ </c:formatCode>
                <c:ptCount val="21"/>
                <c:pt idx="0">
                  <c:v>3.9389847635416662E-5</c:v>
                </c:pt>
                <c:pt idx="1">
                  <c:v>1.814152583854167E-4</c:v>
                </c:pt>
                <c:pt idx="2">
                  <c:v>8.0938253059375002E-4</c:v>
                </c:pt>
                <c:pt idx="3">
                  <c:v>2.42323430725E-3</c:v>
                </c:pt>
                <c:pt idx="4">
                  <c:v>4.3420756962187492E-3</c:v>
                </c:pt>
                <c:pt idx="5">
                  <c:v>5.9495966433749997E-3</c:v>
                </c:pt>
                <c:pt idx="6">
                  <c:v>7.0884318339062488E-3</c:v>
                </c:pt>
                <c:pt idx="7">
                  <c:v>8.0974774943020807E-3</c:v>
                </c:pt>
                <c:pt idx="8">
                  <c:v>8.6559759533645815E-3</c:v>
                </c:pt>
                <c:pt idx="9">
                  <c:v>9.2451910553333332E-3</c:v>
                </c:pt>
                <c:pt idx="10">
                  <c:v>9.7328788062083331E-3</c:v>
                </c:pt>
                <c:pt idx="11">
                  <c:v>1.0046495678791666E-2</c:v>
                </c:pt>
                <c:pt idx="12">
                  <c:v>1.0314846565947916E-2</c:v>
                </c:pt>
                <c:pt idx="13">
                  <c:v>1.0533864194895834E-2</c:v>
                </c:pt>
                <c:pt idx="14">
                  <c:v>1.0627275615854165E-2</c:v>
                </c:pt>
                <c:pt idx="15">
                  <c:v>1.0922784826833331E-2</c:v>
                </c:pt>
                <c:pt idx="16">
                  <c:v>1.0982853245374999E-2</c:v>
                </c:pt>
                <c:pt idx="17">
                  <c:v>1.1053321746562501E-2</c:v>
                </c:pt>
                <c:pt idx="18">
                  <c:v>1.1200152313937499E-2</c:v>
                </c:pt>
                <c:pt idx="19">
                  <c:v>1.1296024932E-2</c:v>
                </c:pt>
                <c:pt idx="20">
                  <c:v>1.1294831168229167E-2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B7-41D0-9506-E14C92751D3D}"/>
            </c:ext>
          </c:extLst>
        </c:ser>
        <c:ser>
          <c:idx val="1"/>
          <c:order val="1"/>
          <c:tx>
            <c:strRef>
              <c:f>'0312-520'!$D$43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'0312-520'!$A$47:$A$66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'0312-520'!$G$47:$G$66</c:f>
              <c:numCache>
                <c:formatCode>0.0000000000_ </c:formatCode>
                <c:ptCount val="20"/>
                <c:pt idx="0">
                  <c:v>1.9155562871014085E-2</c:v>
                </c:pt>
                <c:pt idx="1">
                  <c:v>1.7792361594422535E-2</c:v>
                </c:pt>
                <c:pt idx="2">
                  <c:v>1.4959271363492958E-2</c:v>
                </c:pt>
                <c:pt idx="3">
                  <c:v>1.1725211743408449E-2</c:v>
                </c:pt>
                <c:pt idx="4">
                  <c:v>8.9696232221971837E-3</c:v>
                </c:pt>
                <c:pt idx="5">
                  <c:v>7.0420696323098596E-3</c:v>
                </c:pt>
                <c:pt idx="6">
                  <c:v>5.4859307364225358E-3</c:v>
                </c:pt>
                <c:pt idx="7">
                  <c:v>4.2758695256056327E-3</c:v>
                </c:pt>
                <c:pt idx="8">
                  <c:v>3.6860441489859151E-3</c:v>
                </c:pt>
                <c:pt idx="9">
                  <c:v>2.8041559963943655E-3</c:v>
                </c:pt>
                <c:pt idx="10">
                  <c:v>2.287633704028169E-3</c:v>
                </c:pt>
                <c:pt idx="11">
                  <c:v>1.8604235629859156E-3</c:v>
                </c:pt>
                <c:pt idx="12">
                  <c:v>1.5209356429295776E-3</c:v>
                </c:pt>
                <c:pt idx="13">
                  <c:v>1.2557866608732394E-3</c:v>
                </c:pt>
                <c:pt idx="14">
                  <c:v>1.0420609817464789E-3</c:v>
                </c:pt>
                <c:pt idx="15">
                  <c:v>8.842155371830984E-4</c:v>
                </c:pt>
                <c:pt idx="16">
                  <c:v>7.4354186608450708E-4</c:v>
                </c:pt>
                <c:pt idx="17">
                  <c:v>6.2152539323943662E-4</c:v>
                </c:pt>
                <c:pt idx="18">
                  <c:v>5.2651538904225346E-4</c:v>
                </c:pt>
                <c:pt idx="19">
                  <c:v>4.4424454557746471E-4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B7-41D0-9506-E14C92751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SO4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'0319-520 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('0319-520 '!$B$3:$B$7,'0319-520 '!$B$3:$B$8)</c:f>
              <c:numCache>
                <c:formatCode>General</c:formatCode>
                <c:ptCount val="11"/>
                <c:pt idx="0">
                  <c:v>0</c:v>
                </c:pt>
                <c:pt idx="1">
                  <c:v>1.3046469999999999</c:v>
                </c:pt>
                <c:pt idx="2">
                  <c:v>2.7142870000000001</c:v>
                </c:pt>
                <c:pt idx="3">
                  <c:v>3.994078</c:v>
                </c:pt>
                <c:pt idx="4">
                  <c:v>6.907432</c:v>
                </c:pt>
                <c:pt idx="5">
                  <c:v>0</c:v>
                </c:pt>
                <c:pt idx="6">
                  <c:v>1.3046469999999999</c:v>
                </c:pt>
                <c:pt idx="7">
                  <c:v>2.7142870000000001</c:v>
                </c:pt>
                <c:pt idx="8">
                  <c:v>3.994078</c:v>
                </c:pt>
                <c:pt idx="9">
                  <c:v>6.907432</c:v>
                </c:pt>
              </c:numCache>
            </c:numRef>
          </c:xVal>
          <c:yVal>
            <c:numRef>
              <c:f>('0319-520 '!$C$3:$C$7,'0319-520 '!$C$3:$C$8)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FD-4E42-8BA4-5CD7E851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'0319-520 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'0319-520 '!$F$4:$F$8</c:f>
              <c:numCache>
                <c:formatCode>General</c:formatCode>
                <c:ptCount val="5"/>
                <c:pt idx="0">
                  <c:v>0.32803100000000002</c:v>
                </c:pt>
                <c:pt idx="1">
                  <c:v>1.8007679999999999</c:v>
                </c:pt>
                <c:pt idx="2">
                  <c:v>3.8258749999999999</c:v>
                </c:pt>
                <c:pt idx="3">
                  <c:v>8.0720419999999997</c:v>
                </c:pt>
                <c:pt idx="4">
                  <c:v>43.461542999999999</c:v>
                </c:pt>
              </c:numCache>
            </c:numRef>
          </c:xVal>
          <c:yVal>
            <c:numRef>
              <c:f>'0319-520 '!$G$4:$G$8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D1-459D-A30E-A99CB9995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'0319-520 '!$D$12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'0319-520 '!$A$15:$A$35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'0319-520 '!$G$15:$G$35</c:f>
              <c:numCache>
                <c:formatCode>0.0000000000_ </c:formatCode>
                <c:ptCount val="21"/>
                <c:pt idx="0">
                  <c:v>1.0306466717729166E-2</c:v>
                </c:pt>
                <c:pt idx="1">
                  <c:v>1.3715505032416666E-2</c:v>
                </c:pt>
                <c:pt idx="2">
                  <c:v>1.4175202773437499E-2</c:v>
                </c:pt>
                <c:pt idx="3">
                  <c:v>1.3560586496354169E-2</c:v>
                </c:pt>
                <c:pt idx="4">
                  <c:v>1.0866530938354164E-2</c:v>
                </c:pt>
                <c:pt idx="5">
                  <c:v>8.2348811636041661E-3</c:v>
                </c:pt>
                <c:pt idx="6">
                  <c:v>5.6549982627291662E-3</c:v>
                </c:pt>
                <c:pt idx="7">
                  <c:v>3.6845334449374999E-3</c:v>
                </c:pt>
                <c:pt idx="8">
                  <c:v>2.5654055950208332E-3</c:v>
                </c:pt>
                <c:pt idx="9">
                  <c:v>1.727919038125E-3</c:v>
                </c:pt>
                <c:pt idx="10">
                  <c:v>1.1689980236041667E-3</c:v>
                </c:pt>
                <c:pt idx="11">
                  <c:v>8.8607701087499988E-4</c:v>
                </c:pt>
                <c:pt idx="12">
                  <c:v>6.7370988947916652E-4</c:v>
                </c:pt>
                <c:pt idx="13">
                  <c:v>5.2035782795833334E-4</c:v>
                </c:pt>
                <c:pt idx="14">
                  <c:v>4.1085332597916671E-4</c:v>
                </c:pt>
                <c:pt idx="15">
                  <c:v>3.2555444010416663E-4</c:v>
                </c:pt>
                <c:pt idx="16">
                  <c:v>2.6295799539583338E-4</c:v>
                </c:pt>
                <c:pt idx="17">
                  <c:v>2.2223118260416666E-4</c:v>
                </c:pt>
                <c:pt idx="18">
                  <c:v>1.8415608937499996E-4</c:v>
                </c:pt>
                <c:pt idx="19">
                  <c:v>1.6245271424999999E-4</c:v>
                </c:pt>
                <c:pt idx="20">
                  <c:v>1.5114877770833332E-4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A9-4D7C-9871-EDD6236C3186}"/>
            </c:ext>
          </c:extLst>
        </c:ser>
        <c:ser>
          <c:idx val="1"/>
          <c:order val="1"/>
          <c:tx>
            <c:strRef>
              <c:f>'0319-520 '!$D$43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'0319-520 '!$A$47:$A$66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'0319-520 '!$G$47:$G$66</c:f>
              <c:numCache>
                <c:formatCode>0.0000000000_ </c:formatCode>
                <c:ptCount val="20"/>
                <c:pt idx="0">
                  <c:v>4.9046399504225357E-4</c:v>
                </c:pt>
                <c:pt idx="1">
                  <c:v>6.3608789915492957E-4</c:v>
                </c:pt>
                <c:pt idx="2">
                  <c:v>1.9366787208450703E-3</c:v>
                </c:pt>
                <c:pt idx="3">
                  <c:v>6.3017169218028152E-3</c:v>
                </c:pt>
                <c:pt idx="4">
                  <c:v>1.0525099041239435E-2</c:v>
                </c:pt>
                <c:pt idx="5">
                  <c:v>1.5383923589183097E-2</c:v>
                </c:pt>
                <c:pt idx="6">
                  <c:v>1.8626000326422535E-2</c:v>
                </c:pt>
                <c:pt idx="7">
                  <c:v>2.0882788242647884E-2</c:v>
                </c:pt>
                <c:pt idx="8">
                  <c:v>2.2602777521859154E-2</c:v>
                </c:pt>
                <c:pt idx="9">
                  <c:v>2.3422169975549294E-2</c:v>
                </c:pt>
                <c:pt idx="10">
                  <c:v>2.4005102846309859E-2</c:v>
                </c:pt>
                <c:pt idx="11">
                  <c:v>2.4776600336845069E-2</c:v>
                </c:pt>
                <c:pt idx="12">
                  <c:v>2.5052760268676057E-2</c:v>
                </c:pt>
                <c:pt idx="13">
                  <c:v>2.5435517856112675E-2</c:v>
                </c:pt>
                <c:pt idx="14">
                  <c:v>2.5295986882591548E-2</c:v>
                </c:pt>
                <c:pt idx="15">
                  <c:v>2.5750287603774645E-2</c:v>
                </c:pt>
                <c:pt idx="16">
                  <c:v>2.5490580666704222E-2</c:v>
                </c:pt>
                <c:pt idx="17">
                  <c:v>2.5587877558760561E-2</c:v>
                </c:pt>
                <c:pt idx="18">
                  <c:v>2.5595818409352114E-2</c:v>
                </c:pt>
                <c:pt idx="19">
                  <c:v>2.6145558993126754E-2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A9-4D7C-9871-EDD6236C3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SO4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'0326-600'!$C$2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('0326-600'!$B$3:$B$7,'0326-600'!$B$3:$B$8)</c:f>
              <c:numCache>
                <c:formatCode>General</c:formatCode>
                <c:ptCount val="11"/>
                <c:pt idx="0">
                  <c:v>0</c:v>
                </c:pt>
                <c:pt idx="1">
                  <c:v>1.1735279999999999</c:v>
                </c:pt>
                <c:pt idx="2">
                  <c:v>2.4650370000000001</c:v>
                </c:pt>
                <c:pt idx="3">
                  <c:v>3.840643</c:v>
                </c:pt>
                <c:pt idx="4">
                  <c:v>6.726051</c:v>
                </c:pt>
                <c:pt idx="5">
                  <c:v>0</c:v>
                </c:pt>
                <c:pt idx="6">
                  <c:v>1.1735279999999999</c:v>
                </c:pt>
                <c:pt idx="7">
                  <c:v>2.4650370000000001</c:v>
                </c:pt>
                <c:pt idx="8">
                  <c:v>3.840643</c:v>
                </c:pt>
                <c:pt idx="9">
                  <c:v>6.726051</c:v>
                </c:pt>
              </c:numCache>
            </c:numRef>
          </c:xVal>
          <c:yVal>
            <c:numRef>
              <c:f>('0326-600'!$C$3:$C$7,'0326-600'!$C$3:$C$8)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D1-40FE-AE1D-EB4642811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'0326-600'!$C$2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'0326-600'!$F$4:$F$8</c:f>
              <c:numCache>
                <c:formatCode>General</c:formatCode>
                <c:ptCount val="5"/>
                <c:pt idx="0">
                  <c:v>0.29999699999999996</c:v>
                </c:pt>
                <c:pt idx="1">
                  <c:v>1.7806220000000001</c:v>
                </c:pt>
                <c:pt idx="2">
                  <c:v>3.84687</c:v>
                </c:pt>
                <c:pt idx="3">
                  <c:v>8.1811610000000012</c:v>
                </c:pt>
                <c:pt idx="4">
                  <c:v>43.192791</c:v>
                </c:pt>
              </c:numCache>
            </c:numRef>
          </c:xVal>
          <c:yVal>
            <c:numRef>
              <c:f>'0326-600'!$G$4:$G$8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64-4AA5-B0BD-57772008D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'0326-600'!$D$12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'0326-600'!$A$15:$A$35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'0326-600'!$G$15:$G$35</c:f>
              <c:numCache>
                <c:formatCode>0.0000000000_ </c:formatCode>
                <c:ptCount val="21"/>
                <c:pt idx="0">
                  <c:v>9.6764216006250015E-4</c:v>
                </c:pt>
                <c:pt idx="1">
                  <c:v>7.2519033220833334E-4</c:v>
                </c:pt>
                <c:pt idx="2">
                  <c:v>6.9404381854166661E-4</c:v>
                </c:pt>
                <c:pt idx="3">
                  <c:v>6.6839686847916665E-4</c:v>
                </c:pt>
                <c:pt idx="4">
                  <c:v>6.4981694077083331E-4</c:v>
                </c:pt>
                <c:pt idx="5">
                  <c:v>6.1620524197916673E-4</c:v>
                </c:pt>
                <c:pt idx="6">
                  <c:v>6.0272509672916648E-4</c:v>
                </c:pt>
                <c:pt idx="7">
                  <c:v>6.8146456624999991E-4</c:v>
                </c:pt>
                <c:pt idx="8">
                  <c:v>6.2023867750000006E-4</c:v>
                </c:pt>
                <c:pt idx="9">
                  <c:v>9.1965813116666657E-4</c:v>
                </c:pt>
                <c:pt idx="10">
                  <c:v>2.551875093625E-3</c:v>
                </c:pt>
                <c:pt idx="11">
                  <c:v>5.6427145452708338E-3</c:v>
                </c:pt>
                <c:pt idx="12">
                  <c:v>8.3149546379791672E-3</c:v>
                </c:pt>
                <c:pt idx="13">
                  <c:v>9.7118216273541676E-3</c:v>
                </c:pt>
                <c:pt idx="14">
                  <c:v>1.0451776946E-2</c:v>
                </c:pt>
                <c:pt idx="15">
                  <c:v>1.073491699475E-2</c:v>
                </c:pt>
                <c:pt idx="16">
                  <c:v>1.0473551164645833E-2</c:v>
                </c:pt>
                <c:pt idx="17">
                  <c:v>1.10042135328125E-2</c:v>
                </c:pt>
                <c:pt idx="18">
                  <c:v>1.1034315073979168E-2</c:v>
                </c:pt>
                <c:pt idx="19">
                  <c:v>1.1096105406208333E-2</c:v>
                </c:pt>
                <c:pt idx="20">
                  <c:v>1.1144246180979167E-2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EE-4FAF-92BA-F731AE45586D}"/>
            </c:ext>
          </c:extLst>
        </c:ser>
        <c:ser>
          <c:idx val="1"/>
          <c:order val="1"/>
          <c:tx>
            <c:strRef>
              <c:f>'0326-600'!$D$43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'0326-600'!$A$46:$A$66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'0326-600'!$G$46:$G$66</c:f>
              <c:numCache>
                <c:formatCode>0.0000000000_ </c:formatCode>
                <c:ptCount val="21"/>
                <c:pt idx="0">
                  <c:v>1.9735310156957748E-2</c:v>
                </c:pt>
                <c:pt idx="1">
                  <c:v>1.7699544060169017E-2</c:v>
                </c:pt>
                <c:pt idx="2">
                  <c:v>1.7770521407661971E-2</c:v>
                </c:pt>
                <c:pt idx="3">
                  <c:v>1.7846397805521125E-2</c:v>
                </c:pt>
                <c:pt idx="4">
                  <c:v>1.811413666546479E-2</c:v>
                </c:pt>
                <c:pt idx="5">
                  <c:v>1.7917057185802814E-2</c:v>
                </c:pt>
                <c:pt idx="6">
                  <c:v>1.8060719482478872E-2</c:v>
                </c:pt>
                <c:pt idx="7">
                  <c:v>2.130253128608451E-2</c:v>
                </c:pt>
                <c:pt idx="8">
                  <c:v>1.7967212260732397E-2</c:v>
                </c:pt>
                <c:pt idx="9">
                  <c:v>1.7384501362140845E-2</c:v>
                </c:pt>
                <c:pt idx="10">
                  <c:v>1.4121197330366198E-2</c:v>
                </c:pt>
                <c:pt idx="11">
                  <c:v>8.8020167570704248E-3</c:v>
                </c:pt>
                <c:pt idx="12">
                  <c:v>4.007963612957746E-3</c:v>
                </c:pt>
                <c:pt idx="13">
                  <c:v>1.7627670385352112E-3</c:v>
                </c:pt>
                <c:pt idx="14">
                  <c:v>7.8551771357746481E-4</c:v>
                </c:pt>
                <c:pt idx="15">
                  <c:v>4.3954321757746476E-4</c:v>
                </c:pt>
                <c:pt idx="16">
                  <c:v>2.5879652281690142E-4</c:v>
                </c:pt>
                <c:pt idx="17">
                  <c:v>1.5907650963380284E-4</c:v>
                </c:pt>
                <c:pt idx="18">
                  <c:v>8.3896237521126774E-5</c:v>
                </c:pt>
                <c:pt idx="19">
                  <c:v>5.4781955830985917E-5</c:v>
                </c:pt>
                <c:pt idx="20">
                  <c:v>3.1319116056338025E-5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EE-4FAF-92BA-F731AE455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SO4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'0326-520'!$C$2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('0326-520'!$B$3:$B$7,'0326-520'!$B$3:$B$8)</c:f>
              <c:numCache>
                <c:formatCode>General</c:formatCode>
                <c:ptCount val="11"/>
                <c:pt idx="0">
                  <c:v>0</c:v>
                </c:pt>
                <c:pt idx="1">
                  <c:v>1.1735279999999999</c:v>
                </c:pt>
                <c:pt idx="2">
                  <c:v>2.4650370000000001</c:v>
                </c:pt>
                <c:pt idx="3">
                  <c:v>3.840643</c:v>
                </c:pt>
                <c:pt idx="4">
                  <c:v>6.726051</c:v>
                </c:pt>
                <c:pt idx="5">
                  <c:v>0</c:v>
                </c:pt>
                <c:pt idx="6">
                  <c:v>1.1735279999999999</c:v>
                </c:pt>
                <c:pt idx="7">
                  <c:v>2.4650370000000001</c:v>
                </c:pt>
                <c:pt idx="8">
                  <c:v>3.840643</c:v>
                </c:pt>
                <c:pt idx="9">
                  <c:v>6.726051</c:v>
                </c:pt>
              </c:numCache>
            </c:numRef>
          </c:xVal>
          <c:yVal>
            <c:numRef>
              <c:f>('0326-520'!$C$3:$C$7,'0326-520'!$C$3:$C$8)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64-4926-98E3-1EDB449FF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'0326-520'!$C$2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'0326-520'!$F$4:$F$8</c:f>
              <c:numCache>
                <c:formatCode>General</c:formatCode>
                <c:ptCount val="5"/>
                <c:pt idx="0">
                  <c:v>0.29999699999999996</c:v>
                </c:pt>
                <c:pt idx="1">
                  <c:v>1.7806220000000001</c:v>
                </c:pt>
                <c:pt idx="2">
                  <c:v>3.84687</c:v>
                </c:pt>
                <c:pt idx="3">
                  <c:v>8.1811610000000012</c:v>
                </c:pt>
                <c:pt idx="4">
                  <c:v>43.192791</c:v>
                </c:pt>
              </c:numCache>
            </c:numRef>
          </c:xVal>
          <c:yVal>
            <c:numRef>
              <c:f>'0326-520'!$G$4:$G$8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6-4B48-8A65-98E41C94A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'0326-520'!$D$12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'0326-520'!$A$15:$A$35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'0326-520'!$G$15:$G$35</c:f>
              <c:numCache>
                <c:formatCode>0.0000000000_ </c:formatCode>
                <c:ptCount val="21"/>
                <c:pt idx="0">
                  <c:v>1.1848642352083334E-4</c:v>
                </c:pt>
                <c:pt idx="1">
                  <c:v>8.7202955125000002E-5</c:v>
                </c:pt>
                <c:pt idx="2">
                  <c:v>1.7893966593750008E-4</c:v>
                </c:pt>
                <c:pt idx="3">
                  <c:v>4.2110175141666669E-4</c:v>
                </c:pt>
                <c:pt idx="4">
                  <c:v>1.3334791158541666E-3</c:v>
                </c:pt>
                <c:pt idx="5">
                  <c:v>2.6732731905208334E-3</c:v>
                </c:pt>
                <c:pt idx="6">
                  <c:v>4.1303685948958337E-3</c:v>
                </c:pt>
                <c:pt idx="7">
                  <c:v>5.4344713171666677E-3</c:v>
                </c:pt>
                <c:pt idx="8">
                  <c:v>6.4295994205625E-3</c:v>
                </c:pt>
                <c:pt idx="9">
                  <c:v>7.1822693629374993E-3</c:v>
                </c:pt>
                <c:pt idx="10">
                  <c:v>7.9474868917708344E-3</c:v>
                </c:pt>
                <c:pt idx="11">
                  <c:v>8.3963896615624999E-3</c:v>
                </c:pt>
                <c:pt idx="12">
                  <c:v>8.8394999587916648E-3</c:v>
                </c:pt>
                <c:pt idx="13">
                  <c:v>9.200265631375E-3</c:v>
                </c:pt>
                <c:pt idx="14">
                  <c:v>9.5030614545208326E-3</c:v>
                </c:pt>
                <c:pt idx="15">
                  <c:v>9.6225445601458327E-3</c:v>
                </c:pt>
                <c:pt idx="16">
                  <c:v>9.8768417846041654E-3</c:v>
                </c:pt>
                <c:pt idx="17">
                  <c:v>1.0015593549812501E-2</c:v>
                </c:pt>
                <c:pt idx="18">
                  <c:v>1.0173478603166666E-2</c:v>
                </c:pt>
                <c:pt idx="19">
                  <c:v>1.0350986973437499E-2</c:v>
                </c:pt>
                <c:pt idx="20">
                  <c:v>1.0465755036479165E-2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45-4059-81B5-EECDF467F21C}"/>
            </c:ext>
          </c:extLst>
        </c:ser>
        <c:ser>
          <c:idx val="1"/>
          <c:order val="1"/>
          <c:tx>
            <c:strRef>
              <c:f>'0326-520'!$D$43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'0326-520'!$A$47:$A$66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'0326-520'!$G$47:$G$66</c:f>
              <c:numCache>
                <c:formatCode>0.0000000000_ </c:formatCode>
                <c:ptCount val="20"/>
                <c:pt idx="0">
                  <c:v>1.8799882025577468E-2</c:v>
                </c:pt>
                <c:pt idx="1">
                  <c:v>1.5407107764507041E-2</c:v>
                </c:pt>
                <c:pt idx="2">
                  <c:v>1.8206508103098592E-2</c:v>
                </c:pt>
                <c:pt idx="3">
                  <c:v>1.6273411394366201E-2</c:v>
                </c:pt>
                <c:pt idx="4">
                  <c:v>1.3297935731154929E-2</c:v>
                </c:pt>
                <c:pt idx="5">
                  <c:v>1.0769803296E-2</c:v>
                </c:pt>
                <c:pt idx="6">
                  <c:v>8.6924842495774649E-3</c:v>
                </c:pt>
                <c:pt idx="7">
                  <c:v>6.9315543549295783E-3</c:v>
                </c:pt>
                <c:pt idx="8">
                  <c:v>5.5659898630985912E-3</c:v>
                </c:pt>
                <c:pt idx="9">
                  <c:v>4.6075974331267616E-3</c:v>
                </c:pt>
                <c:pt idx="10">
                  <c:v>3.7367493583098589E-3</c:v>
                </c:pt>
                <c:pt idx="11">
                  <c:v>3.0648807153802818E-3</c:v>
                </c:pt>
                <c:pt idx="12">
                  <c:v>2.5166542113802819E-3</c:v>
                </c:pt>
                <c:pt idx="13">
                  <c:v>2.1076463141408448E-3</c:v>
                </c:pt>
                <c:pt idx="14">
                  <c:v>1.7587734750422537E-3</c:v>
                </c:pt>
                <c:pt idx="15">
                  <c:v>1.4885131220281694E-3</c:v>
                </c:pt>
                <c:pt idx="16">
                  <c:v>1.2498702246760561E-3</c:v>
                </c:pt>
                <c:pt idx="17">
                  <c:v>1.0281149192112675E-3</c:v>
                </c:pt>
                <c:pt idx="18">
                  <c:v>8.8023137881690122E-4</c:v>
                </c:pt>
                <c:pt idx="19">
                  <c:v>7.4422515684507051E-4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45-4059-81B5-EECDF467F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'0326-600'!$D$12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'0326-600'!$A$15:$A$35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'0326-600'!$G$15:$G$35</c:f>
              <c:numCache>
                <c:formatCode>0.0000000000_ </c:formatCode>
                <c:ptCount val="21"/>
                <c:pt idx="0">
                  <c:v>9.6764216006250015E-4</c:v>
                </c:pt>
                <c:pt idx="1">
                  <c:v>7.2519033220833334E-4</c:v>
                </c:pt>
                <c:pt idx="2">
                  <c:v>6.9404381854166661E-4</c:v>
                </c:pt>
                <c:pt idx="3">
                  <c:v>6.6839686847916665E-4</c:v>
                </c:pt>
                <c:pt idx="4">
                  <c:v>6.4981694077083331E-4</c:v>
                </c:pt>
                <c:pt idx="5">
                  <c:v>6.1620524197916673E-4</c:v>
                </c:pt>
                <c:pt idx="6">
                  <c:v>6.0272509672916648E-4</c:v>
                </c:pt>
                <c:pt idx="7">
                  <c:v>6.8146456624999991E-4</c:v>
                </c:pt>
                <c:pt idx="8">
                  <c:v>6.2023867750000006E-4</c:v>
                </c:pt>
                <c:pt idx="9">
                  <c:v>9.1965813116666657E-4</c:v>
                </c:pt>
                <c:pt idx="10">
                  <c:v>2.551875093625E-3</c:v>
                </c:pt>
                <c:pt idx="11">
                  <c:v>5.6427145452708338E-3</c:v>
                </c:pt>
                <c:pt idx="12">
                  <c:v>8.3149546379791672E-3</c:v>
                </c:pt>
                <c:pt idx="13">
                  <c:v>9.7118216273541676E-3</c:v>
                </c:pt>
                <c:pt idx="14">
                  <c:v>1.0451776946E-2</c:v>
                </c:pt>
                <c:pt idx="15">
                  <c:v>1.073491699475E-2</c:v>
                </c:pt>
                <c:pt idx="16">
                  <c:v>1.0473551164645833E-2</c:v>
                </c:pt>
                <c:pt idx="17">
                  <c:v>1.10042135328125E-2</c:v>
                </c:pt>
                <c:pt idx="18">
                  <c:v>1.1034315073979168E-2</c:v>
                </c:pt>
                <c:pt idx="19">
                  <c:v>1.1096105406208333E-2</c:v>
                </c:pt>
                <c:pt idx="20">
                  <c:v>1.1144246180979167E-2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9A-4770-A719-F9312E5B5A39}"/>
            </c:ext>
          </c:extLst>
        </c:ser>
        <c:ser>
          <c:idx val="1"/>
          <c:order val="1"/>
          <c:tx>
            <c:strRef>
              <c:f>'0326-600'!$D$43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'0326-600'!$A$46:$A$66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'0326-600'!$G$46:$G$66</c:f>
              <c:numCache>
                <c:formatCode>0.0000000000_ </c:formatCode>
                <c:ptCount val="21"/>
                <c:pt idx="0">
                  <c:v>1.9735310156957748E-2</c:v>
                </c:pt>
                <c:pt idx="1">
                  <c:v>1.7699544060169017E-2</c:v>
                </c:pt>
                <c:pt idx="2">
                  <c:v>1.7770521407661971E-2</c:v>
                </c:pt>
                <c:pt idx="3">
                  <c:v>1.7846397805521125E-2</c:v>
                </c:pt>
                <c:pt idx="4">
                  <c:v>1.811413666546479E-2</c:v>
                </c:pt>
                <c:pt idx="5">
                  <c:v>1.7917057185802814E-2</c:v>
                </c:pt>
                <c:pt idx="6">
                  <c:v>1.8060719482478872E-2</c:v>
                </c:pt>
                <c:pt idx="7">
                  <c:v>2.130253128608451E-2</c:v>
                </c:pt>
                <c:pt idx="8">
                  <c:v>1.7967212260732397E-2</c:v>
                </c:pt>
                <c:pt idx="9">
                  <c:v>1.7384501362140845E-2</c:v>
                </c:pt>
                <c:pt idx="10">
                  <c:v>1.4121197330366198E-2</c:v>
                </c:pt>
                <c:pt idx="11">
                  <c:v>8.8020167570704248E-3</c:v>
                </c:pt>
                <c:pt idx="12">
                  <c:v>4.007963612957746E-3</c:v>
                </c:pt>
                <c:pt idx="13">
                  <c:v>1.7627670385352112E-3</c:v>
                </c:pt>
                <c:pt idx="14">
                  <c:v>7.8551771357746481E-4</c:v>
                </c:pt>
                <c:pt idx="15">
                  <c:v>4.3954321757746476E-4</c:v>
                </c:pt>
                <c:pt idx="16">
                  <c:v>2.5879652281690142E-4</c:v>
                </c:pt>
                <c:pt idx="17">
                  <c:v>1.5907650963380284E-4</c:v>
                </c:pt>
                <c:pt idx="18">
                  <c:v>8.3896237521126774E-5</c:v>
                </c:pt>
                <c:pt idx="19">
                  <c:v>5.4781955830985917E-5</c:v>
                </c:pt>
                <c:pt idx="20">
                  <c:v>3.1319116056338025E-5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9A-4770-A719-F9312E5B5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NH4+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'0326-C104'!$B$4:$B$8</c:f>
              <c:numCache>
                <c:formatCode>General</c:formatCode>
                <c:ptCount val="5"/>
                <c:pt idx="0">
                  <c:v>1.8344</c:v>
                </c:pt>
                <c:pt idx="1">
                  <c:v>3.5794999999999999</c:v>
                </c:pt>
                <c:pt idx="2">
                  <c:v>8.5602999999999998</c:v>
                </c:pt>
                <c:pt idx="3">
                  <c:v>17.270099999999999</c:v>
                </c:pt>
                <c:pt idx="4">
                  <c:v>36.131599999999999</c:v>
                </c:pt>
              </c:numCache>
            </c:numRef>
          </c:xVal>
          <c:yVal>
            <c:numRef>
              <c:f>'0326-C104'!$C$4:$C$8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'0326-C104'!#REF!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194E-4121-A979-22E520689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SO4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'0409-600 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('0409-600 '!$B$3:$B$7,'0409-600 '!$B$3:$B$8)</c:f>
              <c:numCache>
                <c:formatCode>General</c:formatCode>
                <c:ptCount val="11"/>
                <c:pt idx="0">
                  <c:v>0</c:v>
                </c:pt>
                <c:pt idx="1">
                  <c:v>1.420315</c:v>
                </c:pt>
                <c:pt idx="2">
                  <c:v>2.8556680000000001</c:v>
                </c:pt>
                <c:pt idx="3">
                  <c:v>4.343998</c:v>
                </c:pt>
                <c:pt idx="4">
                  <c:v>7.207986</c:v>
                </c:pt>
                <c:pt idx="5">
                  <c:v>0</c:v>
                </c:pt>
                <c:pt idx="6">
                  <c:v>1.420315</c:v>
                </c:pt>
                <c:pt idx="7">
                  <c:v>2.8556680000000001</c:v>
                </c:pt>
                <c:pt idx="8">
                  <c:v>4.343998</c:v>
                </c:pt>
                <c:pt idx="9">
                  <c:v>7.207986</c:v>
                </c:pt>
              </c:numCache>
            </c:numRef>
          </c:xVal>
          <c:yVal>
            <c:numRef>
              <c:f>('0409-600 '!$C$3:$C$7,'0409-600 '!$C$3:$C$8)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2C-4AE4-B157-B5C3FD7D0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'0409-600 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'0409-600 '!$F$4:$F$8</c:f>
              <c:numCache>
                <c:formatCode>General</c:formatCode>
                <c:ptCount val="5"/>
                <c:pt idx="0">
                  <c:v>0.34081400000000001</c:v>
                </c:pt>
                <c:pt idx="1">
                  <c:v>1.8571869999999999</c:v>
                </c:pt>
                <c:pt idx="2">
                  <c:v>3.9211369999999999</c:v>
                </c:pt>
                <c:pt idx="3">
                  <c:v>8.2513480000000001</c:v>
                </c:pt>
                <c:pt idx="4">
                  <c:v>43.134417999999997</c:v>
                </c:pt>
              </c:numCache>
            </c:numRef>
          </c:xVal>
          <c:yVal>
            <c:numRef>
              <c:f>'0409-600 '!$G$4:$G$8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34-4EE4-AE11-275B84639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'0409-600 '!$D$12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'0409-600 '!$A$15:$A$35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'0409-600 '!$G$15:$G$35</c:f>
              <c:numCache>
                <c:formatCode>0.0000000000_ </c:formatCode>
                <c:ptCount val="21"/>
                <c:pt idx="0">
                  <c:v>7.6297499831250004E-2</c:v>
                </c:pt>
                <c:pt idx="1">
                  <c:v>1.2909456548437498E-2</c:v>
                </c:pt>
                <c:pt idx="2">
                  <c:v>3.502930078125E-4</c:v>
                </c:pt>
                <c:pt idx="3">
                  <c:v>1.2339132187500003E-4</c:v>
                </c:pt>
                <c:pt idx="4">
                  <c:v>8.847225000000002E-5</c:v>
                </c:pt>
                <c:pt idx="5">
                  <c:v>9.6282239062499991E-5</c:v>
                </c:pt>
                <c:pt idx="6">
                  <c:v>4.7868257812500017E-5</c:v>
                </c:pt>
                <c:pt idx="7">
                  <c:v>9.2433262499999995E-5</c:v>
                </c:pt>
                <c:pt idx="8">
                  <c:v>4.4749321875000016E-5</c:v>
                </c:pt>
                <c:pt idx="9">
                  <c:v>3.2266350000000017E-5</c:v>
                </c:pt>
                <c:pt idx="10">
                  <c:v>3.0155737500000016E-5</c:v>
                </c:pt>
                <c:pt idx="11">
                  <c:v>3.5833429687500032E-5</c:v>
                </c:pt>
                <c:pt idx="12">
                  <c:v>3.388545000000003E-5</c:v>
                </c:pt>
                <c:pt idx="13">
                  <c:v>2.4980400000000002E-5</c:v>
                </c:pt>
                <c:pt idx="14">
                  <c:v>3.2107331250000007E-5</c:v>
                </c:pt>
                <c:pt idx="15">
                  <c:v>2.5504439062500026E-5</c:v>
                </c:pt>
                <c:pt idx="16">
                  <c:v>2.1612093749999994E-5</c:v>
                </c:pt>
                <c:pt idx="17">
                  <c:v>1.876421250000001E-5</c:v>
                </c:pt>
                <c:pt idx="18">
                  <c:v>2.2891471875000024E-5</c:v>
                </c:pt>
                <c:pt idx="19">
                  <c:v>3.5320232812500012E-5</c:v>
                </c:pt>
                <c:pt idx="20">
                  <c:v>2.1344653125000034E-5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27-4769-94FF-600B02684872}"/>
            </c:ext>
          </c:extLst>
        </c:ser>
        <c:ser>
          <c:idx val="1"/>
          <c:order val="1"/>
          <c:tx>
            <c:strRef>
              <c:f>'0409-600 '!$D$43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'0409-600 '!$A$46:$A$66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'0409-600 '!$G$46:$G$66</c:f>
              <c:numCache>
                <c:formatCode>0.0000000000_ </c:formatCode>
                <c:ptCount val="21"/>
                <c:pt idx="0">
                  <c:v>5.15439123943662E-4</c:v>
                </c:pt>
                <c:pt idx="1">
                  <c:v>0.40237252474985918</c:v>
                </c:pt>
                <c:pt idx="2">
                  <c:v>0.41306721047323947</c:v>
                </c:pt>
                <c:pt idx="3">
                  <c:v>0.42749277442591554</c:v>
                </c:pt>
                <c:pt idx="4">
                  <c:v>0.41314688204563388</c:v>
                </c:pt>
                <c:pt idx="5">
                  <c:v>0.36462185236732397</c:v>
                </c:pt>
                <c:pt idx="6">
                  <c:v>0.42903775597126759</c:v>
                </c:pt>
                <c:pt idx="7">
                  <c:v>0.41625793678873246</c:v>
                </c:pt>
                <c:pt idx="8">
                  <c:v>0.43311096592845078</c:v>
                </c:pt>
                <c:pt idx="9">
                  <c:v>0.43085534434084521</c:v>
                </c:pt>
                <c:pt idx="10">
                  <c:v>0.42640273347098595</c:v>
                </c:pt>
                <c:pt idx="11">
                  <c:v>0.43121591926760577</c:v>
                </c:pt>
                <c:pt idx="12">
                  <c:v>0.41314195127436626</c:v>
                </c:pt>
                <c:pt idx="13">
                  <c:v>0.42836411308394368</c:v>
                </c:pt>
                <c:pt idx="14">
                  <c:v>0.43274704488732396</c:v>
                </c:pt>
                <c:pt idx="15">
                  <c:v>0.43468972292957742</c:v>
                </c:pt>
                <c:pt idx="16">
                  <c:v>0.44031023248394369</c:v>
                </c:pt>
                <c:pt idx="17">
                  <c:v>0.42836596621577466</c:v>
                </c:pt>
                <c:pt idx="18">
                  <c:v>0.41518437757521132</c:v>
                </c:pt>
                <c:pt idx="19">
                  <c:v>0.42569521690535217</c:v>
                </c:pt>
                <c:pt idx="20">
                  <c:v>0.45764102913126764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27-4769-94FF-600B02684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SO4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'0406-520'!$C$2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('0406-520'!$B$3:$B$7,'0406-520'!$B$3:$B$8)</c:f>
              <c:numCache>
                <c:formatCode>General</c:formatCode>
                <c:ptCount val="11"/>
                <c:pt idx="0">
                  <c:v>0</c:v>
                </c:pt>
                <c:pt idx="1">
                  <c:v>1.420315</c:v>
                </c:pt>
                <c:pt idx="2">
                  <c:v>2.8556680000000001</c:v>
                </c:pt>
                <c:pt idx="3">
                  <c:v>4.343998</c:v>
                </c:pt>
                <c:pt idx="4">
                  <c:v>7.207986</c:v>
                </c:pt>
                <c:pt idx="5">
                  <c:v>0</c:v>
                </c:pt>
                <c:pt idx="6">
                  <c:v>1.420315</c:v>
                </c:pt>
                <c:pt idx="7">
                  <c:v>2.8556680000000001</c:v>
                </c:pt>
                <c:pt idx="8">
                  <c:v>4.343998</c:v>
                </c:pt>
                <c:pt idx="9">
                  <c:v>7.207986</c:v>
                </c:pt>
              </c:numCache>
            </c:numRef>
          </c:xVal>
          <c:yVal>
            <c:numRef>
              <c:f>('0406-520'!$C$3:$C$7,'0406-520'!$C$3:$C$8)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59-49A8-B6A2-94DDCC717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'0406-520'!$C$2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'0406-520'!$F$4:$F$8</c:f>
              <c:numCache>
                <c:formatCode>General</c:formatCode>
                <c:ptCount val="5"/>
                <c:pt idx="0">
                  <c:v>0.34081400000000001</c:v>
                </c:pt>
                <c:pt idx="1">
                  <c:v>1.8571869999999999</c:v>
                </c:pt>
                <c:pt idx="2">
                  <c:v>3.9211369999999999</c:v>
                </c:pt>
                <c:pt idx="3">
                  <c:v>8.2513480000000001</c:v>
                </c:pt>
                <c:pt idx="4">
                  <c:v>43.134417999999997</c:v>
                </c:pt>
              </c:numCache>
            </c:numRef>
          </c:xVal>
          <c:yVal>
            <c:numRef>
              <c:f>'0406-520'!$G$4:$G$8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0B-4948-8FE3-549D893C6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'0406-520'!$D$12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'0406-520'!$A$15:$A$35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'0406-520'!$G$15:$G$35</c:f>
              <c:numCache>
                <c:formatCode>0.0000000000_ </c:formatCode>
                <c:ptCount val="21"/>
                <c:pt idx="0">
                  <c:v>0.22183138754999995</c:v>
                </c:pt>
                <c:pt idx="1">
                  <c:v>4.7373167390624997E-3</c:v>
                </c:pt>
                <c:pt idx="2">
                  <c:v>1.2394427343750004E-4</c:v>
                </c:pt>
                <c:pt idx="3">
                  <c:v>3.6935718750000026E-5</c:v>
                </c:pt>
                <c:pt idx="4">
                  <c:v>3.4694999999999992E-5</c:v>
                </c:pt>
                <c:pt idx="5">
                  <c:v>2.6270620312499992E-5</c:v>
                </c:pt>
                <c:pt idx="6">
                  <c:v>1.9830360937500023E-5</c:v>
                </c:pt>
                <c:pt idx="7">
                  <c:v>1.8825651562500022E-5</c:v>
                </c:pt>
                <c:pt idx="8">
                  <c:v>3.7134492187500026E-5</c:v>
                </c:pt>
                <c:pt idx="9">
                  <c:v>4.2060459375000035E-5</c:v>
                </c:pt>
                <c:pt idx="10">
                  <c:v>2.3422739062500002E-5</c:v>
                </c:pt>
                <c:pt idx="11">
                  <c:v>1.8150544687500005E-4</c:v>
                </c:pt>
                <c:pt idx="12">
                  <c:v>2.4279271875000004E-5</c:v>
                </c:pt>
                <c:pt idx="13">
                  <c:v>2.9982262499999997E-5</c:v>
                </c:pt>
                <c:pt idx="14">
                  <c:v>3.2942179687499998E-5</c:v>
                </c:pt>
                <c:pt idx="15">
                  <c:v>8.6759184375000009E-5</c:v>
                </c:pt>
                <c:pt idx="16">
                  <c:v>4.5179395312500002E-5</c:v>
                </c:pt>
                <c:pt idx="17">
                  <c:v>4.1315962499999989E-5</c:v>
                </c:pt>
                <c:pt idx="18">
                  <c:v>4.4387915625000001E-5</c:v>
                </c:pt>
                <c:pt idx="19">
                  <c:v>6.8338307812500039E-5</c:v>
                </c:pt>
                <c:pt idx="20">
                  <c:v>6.1157165625000013E-5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FB-4CFA-905D-2A7ED20737F3}"/>
            </c:ext>
          </c:extLst>
        </c:ser>
        <c:ser>
          <c:idx val="1"/>
          <c:order val="1"/>
          <c:tx>
            <c:strRef>
              <c:f>'0406-520'!$D$43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'0406-520'!$A$46:$A$66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'0406-520'!$G$46:$G$66</c:f>
              <c:numCache>
                <c:formatCode>0.0000000000_ </c:formatCode>
                <c:ptCount val="21"/>
                <c:pt idx="0">
                  <c:v>1.8204237267605635E-3</c:v>
                </c:pt>
                <c:pt idx="1">
                  <c:v>0.38391368157464784</c:v>
                </c:pt>
                <c:pt idx="2">
                  <c:v>0.39893742076676064</c:v>
                </c:pt>
                <c:pt idx="3">
                  <c:v>0.38892745743267609</c:v>
                </c:pt>
                <c:pt idx="4">
                  <c:v>0.35339311762366205</c:v>
                </c:pt>
                <c:pt idx="5">
                  <c:v>0.40057557620901407</c:v>
                </c:pt>
                <c:pt idx="6">
                  <c:v>0.40026825099267616</c:v>
                </c:pt>
                <c:pt idx="7">
                  <c:v>0.39856545202591559</c:v>
                </c:pt>
                <c:pt idx="8">
                  <c:v>0.39850131271042255</c:v>
                </c:pt>
                <c:pt idx="9">
                  <c:v>0.3570490062214085</c:v>
                </c:pt>
                <c:pt idx="10">
                  <c:v>0.39745314074816906</c:v>
                </c:pt>
                <c:pt idx="11">
                  <c:v>0.40005283587661972</c:v>
                </c:pt>
                <c:pt idx="12">
                  <c:v>0.39995708854929579</c:v>
                </c:pt>
                <c:pt idx="13">
                  <c:v>0.38110112511605637</c:v>
                </c:pt>
                <c:pt idx="14">
                  <c:v>0.36716501060450707</c:v>
                </c:pt>
                <c:pt idx="15">
                  <c:v>0.38546759482253529</c:v>
                </c:pt>
                <c:pt idx="16">
                  <c:v>0.34648114543549297</c:v>
                </c:pt>
                <c:pt idx="17">
                  <c:v>0.34448343003267612</c:v>
                </c:pt>
                <c:pt idx="18">
                  <c:v>0.32459929274535215</c:v>
                </c:pt>
                <c:pt idx="19">
                  <c:v>0.38200602968845077</c:v>
                </c:pt>
                <c:pt idx="20">
                  <c:v>0.40698704564676064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FB-4CFA-905D-2A7ED2073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'0409-600 '!$D$12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'0409-600 '!$A$15:$A$35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'0409-600 '!$G$15:$G$35</c:f>
              <c:numCache>
                <c:formatCode>0.0000000000_ </c:formatCode>
                <c:ptCount val="21"/>
                <c:pt idx="0">
                  <c:v>7.6297499831250004E-2</c:v>
                </c:pt>
                <c:pt idx="1">
                  <c:v>1.2909456548437498E-2</c:v>
                </c:pt>
                <c:pt idx="2">
                  <c:v>3.502930078125E-4</c:v>
                </c:pt>
                <c:pt idx="3">
                  <c:v>1.2339132187500003E-4</c:v>
                </c:pt>
                <c:pt idx="4">
                  <c:v>8.847225000000002E-5</c:v>
                </c:pt>
                <c:pt idx="5">
                  <c:v>9.6282239062499991E-5</c:v>
                </c:pt>
                <c:pt idx="6">
                  <c:v>4.7868257812500017E-5</c:v>
                </c:pt>
                <c:pt idx="7">
                  <c:v>9.2433262499999995E-5</c:v>
                </c:pt>
                <c:pt idx="8">
                  <c:v>4.4749321875000016E-5</c:v>
                </c:pt>
                <c:pt idx="9">
                  <c:v>3.2266350000000017E-5</c:v>
                </c:pt>
                <c:pt idx="10">
                  <c:v>3.0155737500000016E-5</c:v>
                </c:pt>
                <c:pt idx="11">
                  <c:v>3.5833429687500032E-5</c:v>
                </c:pt>
                <c:pt idx="12">
                  <c:v>3.388545000000003E-5</c:v>
                </c:pt>
                <c:pt idx="13">
                  <c:v>2.4980400000000002E-5</c:v>
                </c:pt>
                <c:pt idx="14">
                  <c:v>3.2107331250000007E-5</c:v>
                </c:pt>
                <c:pt idx="15">
                  <c:v>2.5504439062500026E-5</c:v>
                </c:pt>
                <c:pt idx="16">
                  <c:v>2.1612093749999994E-5</c:v>
                </c:pt>
                <c:pt idx="17">
                  <c:v>1.876421250000001E-5</c:v>
                </c:pt>
                <c:pt idx="18">
                  <c:v>2.2891471875000024E-5</c:v>
                </c:pt>
                <c:pt idx="19">
                  <c:v>3.5320232812500012E-5</c:v>
                </c:pt>
                <c:pt idx="20">
                  <c:v>2.1344653125000034E-5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58-49BB-92A4-DD56631AFE69}"/>
            </c:ext>
          </c:extLst>
        </c:ser>
        <c:ser>
          <c:idx val="1"/>
          <c:order val="1"/>
          <c:tx>
            <c:strRef>
              <c:f>'0409-600 '!$D$43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'0409-600 '!$A$46:$A$66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'0409-600 '!$G$46:$G$66</c:f>
              <c:numCache>
                <c:formatCode>0.0000000000_ </c:formatCode>
                <c:ptCount val="21"/>
                <c:pt idx="0">
                  <c:v>5.15439123943662E-4</c:v>
                </c:pt>
                <c:pt idx="1">
                  <c:v>0.40237252474985918</c:v>
                </c:pt>
                <c:pt idx="2">
                  <c:v>0.41306721047323947</c:v>
                </c:pt>
                <c:pt idx="3">
                  <c:v>0.42749277442591554</c:v>
                </c:pt>
                <c:pt idx="4">
                  <c:v>0.41314688204563388</c:v>
                </c:pt>
                <c:pt idx="5">
                  <c:v>0.36462185236732397</c:v>
                </c:pt>
                <c:pt idx="6">
                  <c:v>0.42903775597126759</c:v>
                </c:pt>
                <c:pt idx="7">
                  <c:v>0.41625793678873246</c:v>
                </c:pt>
                <c:pt idx="8">
                  <c:v>0.43311096592845078</c:v>
                </c:pt>
                <c:pt idx="9">
                  <c:v>0.43085534434084521</c:v>
                </c:pt>
                <c:pt idx="10">
                  <c:v>0.42640273347098595</c:v>
                </c:pt>
                <c:pt idx="11">
                  <c:v>0.43121591926760577</c:v>
                </c:pt>
                <c:pt idx="12">
                  <c:v>0.41314195127436626</c:v>
                </c:pt>
                <c:pt idx="13">
                  <c:v>0.42836411308394368</c:v>
                </c:pt>
                <c:pt idx="14">
                  <c:v>0.43274704488732396</c:v>
                </c:pt>
                <c:pt idx="15">
                  <c:v>0.43468972292957742</c:v>
                </c:pt>
                <c:pt idx="16">
                  <c:v>0.44031023248394369</c:v>
                </c:pt>
                <c:pt idx="17">
                  <c:v>0.42836596621577466</c:v>
                </c:pt>
                <c:pt idx="18">
                  <c:v>0.41518437757521132</c:v>
                </c:pt>
                <c:pt idx="19">
                  <c:v>0.42569521690535217</c:v>
                </c:pt>
                <c:pt idx="20">
                  <c:v>0.45764102913126764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58-49BB-92A4-DD56631AF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SO4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'0416-600 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('0416-600 '!$B$3:$B$7,'0416-600 '!$B$3:$B$8)</c:f>
              <c:numCache>
                <c:formatCode>General</c:formatCode>
                <c:ptCount val="11"/>
                <c:pt idx="0">
                  <c:v>0</c:v>
                </c:pt>
                <c:pt idx="1">
                  <c:v>1.2203870000000001</c:v>
                </c:pt>
                <c:pt idx="2">
                  <c:v>2.4311120000000002</c:v>
                </c:pt>
                <c:pt idx="3">
                  <c:v>3.7337539999999998</c:v>
                </c:pt>
                <c:pt idx="4">
                  <c:v>6.3590109999999997</c:v>
                </c:pt>
                <c:pt idx="5">
                  <c:v>0</c:v>
                </c:pt>
                <c:pt idx="6">
                  <c:v>1.2203870000000001</c:v>
                </c:pt>
                <c:pt idx="7">
                  <c:v>2.4311120000000002</c:v>
                </c:pt>
                <c:pt idx="8">
                  <c:v>3.7337539999999998</c:v>
                </c:pt>
                <c:pt idx="9">
                  <c:v>6.3590109999999997</c:v>
                </c:pt>
              </c:numCache>
            </c:numRef>
          </c:xVal>
          <c:yVal>
            <c:numRef>
              <c:f>('0416-600 '!$C$3:$C$7,'0416-600 '!$C$3:$C$8)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FF-4F6F-B5C2-0729B42F6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'0416-600 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'0416-600 '!$F$4:$F$8</c:f>
              <c:numCache>
                <c:formatCode>General</c:formatCode>
                <c:ptCount val="5"/>
                <c:pt idx="0">
                  <c:v>0.30591800000000002</c:v>
                </c:pt>
                <c:pt idx="1">
                  <c:v>1.6983459999999999</c:v>
                </c:pt>
                <c:pt idx="2">
                  <c:v>3.6479370000000002</c:v>
                </c:pt>
                <c:pt idx="3">
                  <c:v>7.8052489999999999</c:v>
                </c:pt>
                <c:pt idx="4">
                  <c:v>42.074738000000004</c:v>
                </c:pt>
              </c:numCache>
            </c:numRef>
          </c:xVal>
          <c:yVal>
            <c:numRef>
              <c:f>'0416-600 '!$G$4:$G$8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EE-4851-BDB4-C2EDB87D3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'0416-600 '!$D$12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'0416-600 '!$A$15:$A$37</c:f>
              <c:numCache>
                <c:formatCode>General</c:formatCode>
                <c:ptCount val="2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</c:numCache>
            </c:numRef>
          </c:xVal>
          <c:yVal>
            <c:numRef>
              <c:f>'0416-600 '!$G$15:$G$37</c:f>
              <c:numCache>
                <c:formatCode>0.0000000000_ </c:formatCode>
                <c:ptCount val="23"/>
                <c:pt idx="0">
                  <c:v>0.10384424810083334</c:v>
                </c:pt>
                <c:pt idx="1">
                  <c:v>8.9046392142291653E-2</c:v>
                </c:pt>
                <c:pt idx="2">
                  <c:v>6.9467691431041673E-2</c:v>
                </c:pt>
                <c:pt idx="3">
                  <c:v>5.6795297626874998E-2</c:v>
                </c:pt>
                <c:pt idx="4">
                  <c:v>0.10743614305249999</c:v>
                </c:pt>
                <c:pt idx="5">
                  <c:v>0.14531634563062498</c:v>
                </c:pt>
                <c:pt idx="6">
                  <c:v>0.15450195055020832</c:v>
                </c:pt>
                <c:pt idx="7">
                  <c:v>0.2307703752602083</c:v>
                </c:pt>
                <c:pt idx="8">
                  <c:v>0.25122917480937501</c:v>
                </c:pt>
                <c:pt idx="9">
                  <c:v>0.26287880159229166</c:v>
                </c:pt>
                <c:pt idx="10">
                  <c:v>0.18467100816020832</c:v>
                </c:pt>
                <c:pt idx="11">
                  <c:v>0.26825634526375003</c:v>
                </c:pt>
                <c:pt idx="12">
                  <c:v>0.22182477811250001</c:v>
                </c:pt>
                <c:pt idx="13">
                  <c:v>0.20923424059229162</c:v>
                </c:pt>
                <c:pt idx="14">
                  <c:v>0.28040824432354167</c:v>
                </c:pt>
                <c:pt idx="15">
                  <c:v>0.27326104417499997</c:v>
                </c:pt>
                <c:pt idx="16">
                  <c:v>0.2729792496866667</c:v>
                </c:pt>
                <c:pt idx="17">
                  <c:v>0.27874826194354163</c:v>
                </c:pt>
                <c:pt idx="18">
                  <c:v>0.28096824590708336</c:v>
                </c:pt>
                <c:pt idx="19">
                  <c:v>0.22556950759687497</c:v>
                </c:pt>
                <c:pt idx="20">
                  <c:v>0.2326993707475</c:v>
                </c:pt>
                <c:pt idx="21">
                  <c:v>0.24669681599291668</c:v>
                </c:pt>
                <c:pt idx="22">
                  <c:v>0.28613384374458339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C7-4B59-BD7D-0BBE90F3E14B}"/>
            </c:ext>
          </c:extLst>
        </c:ser>
        <c:ser>
          <c:idx val="1"/>
          <c:order val="1"/>
          <c:tx>
            <c:strRef>
              <c:f>'0416-600 '!$D$43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'0416-600 '!$A$46:$A$68</c:f>
              <c:numCache>
                <c:formatCode>General</c:formatCode>
                <c:ptCount val="2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</c:numCache>
            </c:numRef>
          </c:xVal>
          <c:yVal>
            <c:numRef>
              <c:f>'0416-600 '!$G$46:$G$68</c:f>
              <c:numCache>
                <c:formatCode>0.0000000000_ </c:formatCode>
                <c:ptCount val="23"/>
                <c:pt idx="0">
                  <c:v>1.4957619087323946E-3</c:v>
                </c:pt>
                <c:pt idx="1">
                  <c:v>1.5733434366197183E-3</c:v>
                </c:pt>
                <c:pt idx="2">
                  <c:v>1.3480941656338031E-3</c:v>
                </c:pt>
                <c:pt idx="3">
                  <c:v>1.111269174084507E-3</c:v>
                </c:pt>
                <c:pt idx="4">
                  <c:v>1.5557378546478874E-3</c:v>
                </c:pt>
                <c:pt idx="5">
                  <c:v>1.5325259132394366E-3</c:v>
                </c:pt>
                <c:pt idx="6">
                  <c:v>1.3457077656338029E-3</c:v>
                </c:pt>
                <c:pt idx="7">
                  <c:v>1.815640342535211E-3</c:v>
                </c:pt>
                <c:pt idx="8">
                  <c:v>1.8671193600000003E-3</c:v>
                </c:pt>
                <c:pt idx="9">
                  <c:v>1.9323924416901408E-3</c:v>
                </c:pt>
                <c:pt idx="10">
                  <c:v>1.3261930636619718E-3</c:v>
                </c:pt>
                <c:pt idx="11">
                  <c:v>1.8332795357746479E-3</c:v>
                </c:pt>
                <c:pt idx="12">
                  <c:v>1.4829896270422535E-3</c:v>
                </c:pt>
                <c:pt idx="13">
                  <c:v>1.3705330478873238E-3</c:v>
                </c:pt>
                <c:pt idx="14">
                  <c:v>1.7986128743661973E-3</c:v>
                </c:pt>
                <c:pt idx="15">
                  <c:v>1.720096953239437E-3</c:v>
                </c:pt>
                <c:pt idx="16">
                  <c:v>1.6852420687323941E-3</c:v>
                </c:pt>
                <c:pt idx="17">
                  <c:v>1.6932886061971828E-3</c:v>
                </c:pt>
                <c:pt idx="18">
                  <c:v>1.6836623391549297E-3</c:v>
                </c:pt>
                <c:pt idx="19">
                  <c:v>1.3328077611267607E-3</c:v>
                </c:pt>
                <c:pt idx="20">
                  <c:v>1.3526787425352112E-3</c:v>
                </c:pt>
                <c:pt idx="21">
                  <c:v>1.4113774602816901E-3</c:v>
                </c:pt>
                <c:pt idx="22">
                  <c:v>1.6305699808450704E-3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C7-4B59-BD7D-0BBE90F3E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SO4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'0416-520'!$C$2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('0416-520'!$B$3:$B$7,'0416-520'!$B$3:$B$8)</c:f>
              <c:numCache>
                <c:formatCode>General</c:formatCode>
                <c:ptCount val="11"/>
                <c:pt idx="0">
                  <c:v>0</c:v>
                </c:pt>
                <c:pt idx="1">
                  <c:v>1.2203870000000001</c:v>
                </c:pt>
                <c:pt idx="2">
                  <c:v>2.4311120000000002</c:v>
                </c:pt>
                <c:pt idx="3">
                  <c:v>3.7337539999999998</c:v>
                </c:pt>
                <c:pt idx="4">
                  <c:v>6.3590109999999997</c:v>
                </c:pt>
                <c:pt idx="5">
                  <c:v>0</c:v>
                </c:pt>
                <c:pt idx="6">
                  <c:v>1.2203870000000001</c:v>
                </c:pt>
                <c:pt idx="7">
                  <c:v>2.4311120000000002</c:v>
                </c:pt>
                <c:pt idx="8">
                  <c:v>3.7337539999999998</c:v>
                </c:pt>
                <c:pt idx="9">
                  <c:v>6.3590109999999997</c:v>
                </c:pt>
              </c:numCache>
            </c:numRef>
          </c:xVal>
          <c:yVal>
            <c:numRef>
              <c:f>('0416-520'!$C$3:$C$7,'0416-520'!$C$3:$C$8)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DD-4D97-AE98-D1200FDB9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'0416-520'!$C$2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'0416-520'!$F$4:$F$8</c:f>
              <c:numCache>
                <c:formatCode>General</c:formatCode>
                <c:ptCount val="5"/>
                <c:pt idx="0">
                  <c:v>0.30591800000000002</c:v>
                </c:pt>
                <c:pt idx="1">
                  <c:v>1.6983459999999999</c:v>
                </c:pt>
                <c:pt idx="2">
                  <c:v>3.6479370000000002</c:v>
                </c:pt>
                <c:pt idx="3">
                  <c:v>7.8052489999999999</c:v>
                </c:pt>
                <c:pt idx="4">
                  <c:v>42.074738000000004</c:v>
                </c:pt>
              </c:numCache>
            </c:numRef>
          </c:xVal>
          <c:yVal>
            <c:numRef>
              <c:f>'0416-520'!$G$4:$G$8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B7-4F1D-A640-7756B846B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'0416-520'!$D$12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'0416-520'!$A$15:$A$37</c:f>
              <c:numCache>
                <c:formatCode>General</c:formatCode>
                <c:ptCount val="2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</c:numCache>
            </c:numRef>
          </c:xVal>
          <c:yVal>
            <c:numRef>
              <c:f>'0416-520'!$G$15:$G$37</c:f>
              <c:numCache>
                <c:formatCode>0.0000000000_ </c:formatCode>
                <c:ptCount val="23"/>
                <c:pt idx="0">
                  <c:v>0.54703850331395831</c:v>
                </c:pt>
                <c:pt idx="1">
                  <c:v>0.50978219681145842</c:v>
                </c:pt>
                <c:pt idx="2">
                  <c:v>0.56757079683854172</c:v>
                </c:pt>
                <c:pt idx="3">
                  <c:v>0.502233734121875</c:v>
                </c:pt>
                <c:pt idx="4">
                  <c:v>0.46259794327500003</c:v>
                </c:pt>
                <c:pt idx="5">
                  <c:v>0.5262873705333333</c:v>
                </c:pt>
                <c:pt idx="6">
                  <c:v>0.45022873591125001</c:v>
                </c:pt>
                <c:pt idx="7">
                  <c:v>0.46087324713666661</c:v>
                </c:pt>
                <c:pt idx="8">
                  <c:v>0.42173287238395829</c:v>
                </c:pt>
                <c:pt idx="9">
                  <c:v>0.40007808892958335</c:v>
                </c:pt>
                <c:pt idx="10">
                  <c:v>0.36370913053000004</c:v>
                </c:pt>
                <c:pt idx="11">
                  <c:v>0.35650506171812502</c:v>
                </c:pt>
                <c:pt idx="12">
                  <c:v>0.33624414807000003</c:v>
                </c:pt>
                <c:pt idx="13">
                  <c:v>0.32789102937854164</c:v>
                </c:pt>
                <c:pt idx="14">
                  <c:v>0.31199591109791669</c:v>
                </c:pt>
                <c:pt idx="15">
                  <c:v>0.30850197225333331</c:v>
                </c:pt>
                <c:pt idx="16">
                  <c:v>0.27558691623250003</c:v>
                </c:pt>
                <c:pt idx="17">
                  <c:v>0.287240693136875</c:v>
                </c:pt>
                <c:pt idx="18">
                  <c:v>0.27715135065166668</c:v>
                </c:pt>
                <c:pt idx="19">
                  <c:v>0.27133779182687501</c:v>
                </c:pt>
                <c:pt idx="20">
                  <c:v>0.28867524902916669</c:v>
                </c:pt>
                <c:pt idx="21">
                  <c:v>0.28091175377520833</c:v>
                </c:pt>
                <c:pt idx="22">
                  <c:v>0.2850802176945833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18-4852-A13B-CFBC9E918AE0}"/>
            </c:ext>
          </c:extLst>
        </c:ser>
        <c:ser>
          <c:idx val="1"/>
          <c:order val="1"/>
          <c:tx>
            <c:strRef>
              <c:f>'0416-520'!$D$43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'0416-520'!$A$46:$A$68</c:f>
              <c:numCache>
                <c:formatCode>General</c:formatCode>
                <c:ptCount val="2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</c:numCache>
            </c:numRef>
          </c:xVal>
          <c:yVal>
            <c:numRef>
              <c:f>'0416-520'!$G$46:$G$68</c:f>
              <c:numCache>
                <c:formatCode>0.0000000000_ </c:formatCode>
                <c:ptCount val="23"/>
                <c:pt idx="0">
                  <c:v>1.4953565568450705E-2</c:v>
                </c:pt>
                <c:pt idx="1">
                  <c:v>1.3605370569014084E-2</c:v>
                </c:pt>
                <c:pt idx="2">
                  <c:v>1.5141062663661973E-2</c:v>
                </c:pt>
                <c:pt idx="3">
                  <c:v>1.2909919830985914E-2</c:v>
                </c:pt>
                <c:pt idx="4">
                  <c:v>1.1752119218028169E-2</c:v>
                </c:pt>
                <c:pt idx="5">
                  <c:v>1.4056702670422534E-2</c:v>
                </c:pt>
                <c:pt idx="6">
                  <c:v>1.2446649007323944E-2</c:v>
                </c:pt>
                <c:pt idx="7">
                  <c:v>1.3773534463098589E-2</c:v>
                </c:pt>
                <c:pt idx="8">
                  <c:v>1.3257493949295776E-2</c:v>
                </c:pt>
                <c:pt idx="9">
                  <c:v>1.3226356470985917E-2</c:v>
                </c:pt>
                <c:pt idx="10">
                  <c:v>1.2478008319999999E-2</c:v>
                </c:pt>
                <c:pt idx="11">
                  <c:v>1.271891371943662E-2</c:v>
                </c:pt>
                <c:pt idx="12">
                  <c:v>1.228136896E-2</c:v>
                </c:pt>
                <c:pt idx="13">
                  <c:v>1.2271238523943661E-2</c:v>
                </c:pt>
                <c:pt idx="14">
                  <c:v>1.1886799567323945E-2</c:v>
                </c:pt>
                <c:pt idx="15">
                  <c:v>1.1954129658591547E-2</c:v>
                </c:pt>
                <c:pt idx="16">
                  <c:v>1.0665124101408453E-2</c:v>
                </c:pt>
                <c:pt idx="17">
                  <c:v>1.1268533744225352E-2</c:v>
                </c:pt>
                <c:pt idx="18">
                  <c:v>1.0868761327323943E-2</c:v>
                </c:pt>
                <c:pt idx="19">
                  <c:v>1.068736803830986E-2</c:v>
                </c:pt>
                <c:pt idx="20">
                  <c:v>1.1508128304225353E-2</c:v>
                </c:pt>
                <c:pt idx="21">
                  <c:v>1.1215253162816902E-2</c:v>
                </c:pt>
                <c:pt idx="22">
                  <c:v>1.162957925859155E-2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18-4852-A13B-CFBC9E918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'0416-600 '!$D$12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'0416-600 '!$A$15:$A$37</c:f>
              <c:numCache>
                <c:formatCode>General</c:formatCode>
                <c:ptCount val="2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</c:numCache>
            </c:numRef>
          </c:xVal>
          <c:yVal>
            <c:numRef>
              <c:f>'0416-600 '!$G$15:$G$37</c:f>
              <c:numCache>
                <c:formatCode>0.0000000000_ </c:formatCode>
                <c:ptCount val="23"/>
                <c:pt idx="0">
                  <c:v>0.10384424810083334</c:v>
                </c:pt>
                <c:pt idx="1">
                  <c:v>8.9046392142291653E-2</c:v>
                </c:pt>
                <c:pt idx="2">
                  <c:v>6.9467691431041673E-2</c:v>
                </c:pt>
                <c:pt idx="3">
                  <c:v>5.6795297626874998E-2</c:v>
                </c:pt>
                <c:pt idx="4">
                  <c:v>0.10743614305249999</c:v>
                </c:pt>
                <c:pt idx="5">
                  <c:v>0.14531634563062498</c:v>
                </c:pt>
                <c:pt idx="6">
                  <c:v>0.15450195055020832</c:v>
                </c:pt>
                <c:pt idx="7">
                  <c:v>0.2307703752602083</c:v>
                </c:pt>
                <c:pt idx="8">
                  <c:v>0.25122917480937501</c:v>
                </c:pt>
                <c:pt idx="9">
                  <c:v>0.26287880159229166</c:v>
                </c:pt>
                <c:pt idx="10">
                  <c:v>0.18467100816020832</c:v>
                </c:pt>
                <c:pt idx="11">
                  <c:v>0.26825634526375003</c:v>
                </c:pt>
                <c:pt idx="12">
                  <c:v>0.22182477811250001</c:v>
                </c:pt>
                <c:pt idx="13">
                  <c:v>0.20923424059229162</c:v>
                </c:pt>
                <c:pt idx="14">
                  <c:v>0.28040824432354167</c:v>
                </c:pt>
                <c:pt idx="15">
                  <c:v>0.27326104417499997</c:v>
                </c:pt>
                <c:pt idx="16">
                  <c:v>0.2729792496866667</c:v>
                </c:pt>
                <c:pt idx="17">
                  <c:v>0.27874826194354163</c:v>
                </c:pt>
                <c:pt idx="18">
                  <c:v>0.28096824590708336</c:v>
                </c:pt>
                <c:pt idx="19">
                  <c:v>0.22556950759687497</c:v>
                </c:pt>
                <c:pt idx="20">
                  <c:v>0.2326993707475</c:v>
                </c:pt>
                <c:pt idx="21">
                  <c:v>0.24669681599291668</c:v>
                </c:pt>
                <c:pt idx="22">
                  <c:v>0.28613384374458339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1D-4D52-B93C-59F72D2C0E18}"/>
            </c:ext>
          </c:extLst>
        </c:ser>
        <c:ser>
          <c:idx val="1"/>
          <c:order val="1"/>
          <c:tx>
            <c:strRef>
              <c:f>'0416-600 '!$D$43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'0416-600 '!$A$46:$A$68</c:f>
              <c:numCache>
                <c:formatCode>General</c:formatCode>
                <c:ptCount val="2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</c:numCache>
            </c:numRef>
          </c:xVal>
          <c:yVal>
            <c:numRef>
              <c:f>'0416-600 '!$G$46:$G$68</c:f>
              <c:numCache>
                <c:formatCode>0.0000000000_ </c:formatCode>
                <c:ptCount val="23"/>
                <c:pt idx="0">
                  <c:v>1.4957619087323946E-3</c:v>
                </c:pt>
                <c:pt idx="1">
                  <c:v>1.5733434366197183E-3</c:v>
                </c:pt>
                <c:pt idx="2">
                  <c:v>1.3480941656338031E-3</c:v>
                </c:pt>
                <c:pt idx="3">
                  <c:v>1.111269174084507E-3</c:v>
                </c:pt>
                <c:pt idx="4">
                  <c:v>1.5557378546478874E-3</c:v>
                </c:pt>
                <c:pt idx="5">
                  <c:v>1.5325259132394366E-3</c:v>
                </c:pt>
                <c:pt idx="6">
                  <c:v>1.3457077656338029E-3</c:v>
                </c:pt>
                <c:pt idx="7">
                  <c:v>1.815640342535211E-3</c:v>
                </c:pt>
                <c:pt idx="8">
                  <c:v>1.8671193600000003E-3</c:v>
                </c:pt>
                <c:pt idx="9">
                  <c:v>1.9323924416901408E-3</c:v>
                </c:pt>
                <c:pt idx="10">
                  <c:v>1.3261930636619718E-3</c:v>
                </c:pt>
                <c:pt idx="11">
                  <c:v>1.8332795357746479E-3</c:v>
                </c:pt>
                <c:pt idx="12">
                  <c:v>1.4829896270422535E-3</c:v>
                </c:pt>
                <c:pt idx="13">
                  <c:v>1.3705330478873238E-3</c:v>
                </c:pt>
                <c:pt idx="14">
                  <c:v>1.7986128743661973E-3</c:v>
                </c:pt>
                <c:pt idx="15">
                  <c:v>1.720096953239437E-3</c:v>
                </c:pt>
                <c:pt idx="16">
                  <c:v>1.6852420687323941E-3</c:v>
                </c:pt>
                <c:pt idx="17">
                  <c:v>1.6932886061971828E-3</c:v>
                </c:pt>
                <c:pt idx="18">
                  <c:v>1.6836623391549297E-3</c:v>
                </c:pt>
                <c:pt idx="19">
                  <c:v>1.3328077611267607E-3</c:v>
                </c:pt>
                <c:pt idx="20">
                  <c:v>1.3526787425352112E-3</c:v>
                </c:pt>
                <c:pt idx="21">
                  <c:v>1.4113774602816901E-3</c:v>
                </c:pt>
                <c:pt idx="22">
                  <c:v>1.6305699808450704E-3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1D-4D52-B93C-59F72D2C0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SO4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'0423-600'!$C$2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('0423-600'!$B$3:$B$7,'0423-600'!$B$3:$B$8)</c:f>
              <c:numCache>
                <c:formatCode>General</c:formatCode>
                <c:ptCount val="11"/>
                <c:pt idx="0">
                  <c:v>0</c:v>
                </c:pt>
                <c:pt idx="1">
                  <c:v>1.2476499999999999</c:v>
                </c:pt>
                <c:pt idx="2">
                  <c:v>2.5257749999999999</c:v>
                </c:pt>
                <c:pt idx="3">
                  <c:v>3.9033180000000001</c:v>
                </c:pt>
                <c:pt idx="4">
                  <c:v>6.6340060000000003</c:v>
                </c:pt>
                <c:pt idx="5">
                  <c:v>0</c:v>
                </c:pt>
                <c:pt idx="6">
                  <c:v>1.2476499999999999</c:v>
                </c:pt>
                <c:pt idx="7">
                  <c:v>2.5257749999999999</c:v>
                </c:pt>
                <c:pt idx="8">
                  <c:v>3.9033180000000001</c:v>
                </c:pt>
                <c:pt idx="9">
                  <c:v>6.6340060000000003</c:v>
                </c:pt>
              </c:numCache>
            </c:numRef>
          </c:xVal>
          <c:yVal>
            <c:numRef>
              <c:f>('0423-600'!$C$3:$C$7,'0423-600'!$C$3:$C$8)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06-4D11-8CD2-DCB15D460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'0423-600'!$C$2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'0423-600'!$F$4:$F$8</c:f>
              <c:numCache>
                <c:formatCode>General</c:formatCode>
                <c:ptCount val="5"/>
                <c:pt idx="0">
                  <c:v>0.32322200000000001</c:v>
                </c:pt>
                <c:pt idx="1">
                  <c:v>1.7661309999999999</c:v>
                </c:pt>
                <c:pt idx="2">
                  <c:v>3.849869</c:v>
                </c:pt>
                <c:pt idx="3">
                  <c:v>8.1827179999999995</c:v>
                </c:pt>
                <c:pt idx="4">
                  <c:v>43.232191999999998</c:v>
                </c:pt>
              </c:numCache>
            </c:numRef>
          </c:xVal>
          <c:yVal>
            <c:numRef>
              <c:f>'0423-600'!$G$4:$G$8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A7-4A69-B84C-F46EE25E9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'0423-600'!$D$12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'0423-600'!$A$15:$A$60</c:f>
              <c:numCache>
                <c:formatCode>General</c:formatCode>
                <c:ptCount val="4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1.3</c:v>
                </c:pt>
                <c:pt idx="24">
                  <c:v>1.5</c:v>
                </c:pt>
                <c:pt idx="25">
                  <c:v>1.7</c:v>
                </c:pt>
                <c:pt idx="26">
                  <c:v>1.9</c:v>
                </c:pt>
                <c:pt idx="27">
                  <c:v>2.1</c:v>
                </c:pt>
                <c:pt idx="28">
                  <c:v>2.2999999999999998</c:v>
                </c:pt>
                <c:pt idx="29">
                  <c:v>2.5</c:v>
                </c:pt>
                <c:pt idx="30">
                  <c:v>2.7</c:v>
                </c:pt>
                <c:pt idx="31">
                  <c:v>2.9</c:v>
                </c:pt>
                <c:pt idx="32">
                  <c:v>3.1</c:v>
                </c:pt>
                <c:pt idx="33">
                  <c:v>3.3</c:v>
                </c:pt>
                <c:pt idx="34">
                  <c:v>3.5</c:v>
                </c:pt>
                <c:pt idx="35">
                  <c:v>3.7</c:v>
                </c:pt>
                <c:pt idx="36">
                  <c:v>3.9</c:v>
                </c:pt>
                <c:pt idx="37">
                  <c:v>4.0999999999999996</c:v>
                </c:pt>
                <c:pt idx="38">
                  <c:v>4.3</c:v>
                </c:pt>
                <c:pt idx="39">
                  <c:v>4.5</c:v>
                </c:pt>
                <c:pt idx="40">
                  <c:v>4.7</c:v>
                </c:pt>
                <c:pt idx="41">
                  <c:v>4.9000000000000004</c:v>
                </c:pt>
                <c:pt idx="42">
                  <c:v>5.0999999999999996</c:v>
                </c:pt>
                <c:pt idx="43">
                  <c:v>5.3</c:v>
                </c:pt>
                <c:pt idx="44">
                  <c:v>5.5</c:v>
                </c:pt>
                <c:pt idx="45">
                  <c:v>5.7</c:v>
                </c:pt>
              </c:numCache>
            </c:numRef>
          </c:xVal>
          <c:yVal>
            <c:numRef>
              <c:f>'0423-600'!$G$15:$G$60</c:f>
              <c:numCache>
                <c:formatCode>0.0000000000_ </c:formatCode>
                <c:ptCount val="46"/>
                <c:pt idx="0">
                  <c:v>0.10388562518416668</c:v>
                </c:pt>
                <c:pt idx="1">
                  <c:v>8.9087769225625002E-2</c:v>
                </c:pt>
                <c:pt idx="2">
                  <c:v>6.9509068514375008E-2</c:v>
                </c:pt>
                <c:pt idx="3">
                  <c:v>5.6836674710208333E-2</c:v>
                </c:pt>
                <c:pt idx="4">
                  <c:v>0.10747752013583332</c:v>
                </c:pt>
                <c:pt idx="5">
                  <c:v>0.14535772271395833</c:v>
                </c:pt>
                <c:pt idx="6">
                  <c:v>0.15454332763354164</c:v>
                </c:pt>
                <c:pt idx="7">
                  <c:v>0.23081175234354165</c:v>
                </c:pt>
                <c:pt idx="8">
                  <c:v>0.25127055189270836</c:v>
                </c:pt>
                <c:pt idx="9">
                  <c:v>0.262920178675625</c:v>
                </c:pt>
                <c:pt idx="10">
                  <c:v>0.18471238524354167</c:v>
                </c:pt>
                <c:pt idx="11">
                  <c:v>0.26829772234708338</c:v>
                </c:pt>
                <c:pt idx="12">
                  <c:v>0.22186615519583333</c:v>
                </c:pt>
                <c:pt idx="13">
                  <c:v>0.20927561767562497</c:v>
                </c:pt>
                <c:pt idx="14">
                  <c:v>0.28044962140687496</c:v>
                </c:pt>
                <c:pt idx="15">
                  <c:v>0.27330242125833332</c:v>
                </c:pt>
                <c:pt idx="16">
                  <c:v>0.27302062677</c:v>
                </c:pt>
                <c:pt idx="17">
                  <c:v>0.27878963902687492</c:v>
                </c:pt>
                <c:pt idx="18">
                  <c:v>0.28100962299041665</c:v>
                </c:pt>
                <c:pt idx="19">
                  <c:v>0.22561088468020829</c:v>
                </c:pt>
                <c:pt idx="20">
                  <c:v>0.23274074783083332</c:v>
                </c:pt>
                <c:pt idx="21">
                  <c:v>0.24673819307624997</c:v>
                </c:pt>
                <c:pt idx="22">
                  <c:v>0.28617522082791669</c:v>
                </c:pt>
                <c:pt idx="23">
                  <c:v>0.25890284041541667</c:v>
                </c:pt>
                <c:pt idx="24">
                  <c:v>0.25022049471250002</c:v>
                </c:pt>
                <c:pt idx="25">
                  <c:v>0.24059681815</c:v>
                </c:pt>
                <c:pt idx="26">
                  <c:v>0.22409256795520835</c:v>
                </c:pt>
                <c:pt idx="27">
                  <c:v>0.2235594150833333</c:v>
                </c:pt>
                <c:pt idx="28">
                  <c:v>0.20676332406979164</c:v>
                </c:pt>
                <c:pt idx="29">
                  <c:v>0.18084717374479167</c:v>
                </c:pt>
                <c:pt idx="30">
                  <c:v>0.13140468333958333</c:v>
                </c:pt>
                <c:pt idx="31">
                  <c:v>0.10749162263124999</c:v>
                </c:pt>
                <c:pt idx="32">
                  <c:v>8.045467008854168E-2</c:v>
                </c:pt>
                <c:pt idx="33">
                  <c:v>5.533469202083334E-2</c:v>
                </c:pt>
                <c:pt idx="34">
                  <c:v>3.6594792920833334E-2</c:v>
                </c:pt>
                <c:pt idx="35">
                  <c:v>2.1419030668750002E-2</c:v>
                </c:pt>
                <c:pt idx="36">
                  <c:v>1.9306658461458338E-2</c:v>
                </c:pt>
                <c:pt idx="37">
                  <c:v>5.4531072374999993E-3</c:v>
                </c:pt>
                <c:pt idx="38">
                  <c:v>8.609538247916668E-3</c:v>
                </c:pt>
                <c:pt idx="39">
                  <c:v>5.3548905854166667E-3</c:v>
                </c:pt>
                <c:pt idx="40">
                  <c:v>5.5590014052083339E-3</c:v>
                </c:pt>
                <c:pt idx="41">
                  <c:v>3.6170700447916673E-3</c:v>
                </c:pt>
                <c:pt idx="42">
                  <c:v>1.5008967729166667E-3</c:v>
                </c:pt>
                <c:pt idx="43">
                  <c:v>1.5873928145833335E-3</c:v>
                </c:pt>
                <c:pt idx="44">
                  <c:v>2.0531184510416672E-3</c:v>
                </c:pt>
                <c:pt idx="45">
                  <c:v>1.0122615885416668E-3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FA-4789-A03B-FB27D12186CF}"/>
            </c:ext>
          </c:extLst>
        </c:ser>
        <c:ser>
          <c:idx val="1"/>
          <c:order val="1"/>
          <c:tx>
            <c:strRef>
              <c:f>'0423-600'!$D$62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'0423-600'!$A$65:$A$110</c:f>
              <c:numCache>
                <c:formatCode>General</c:formatCode>
                <c:ptCount val="4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1.3</c:v>
                </c:pt>
                <c:pt idx="24">
                  <c:v>1.5</c:v>
                </c:pt>
                <c:pt idx="25">
                  <c:v>1.7</c:v>
                </c:pt>
                <c:pt idx="26">
                  <c:v>1.9</c:v>
                </c:pt>
                <c:pt idx="27">
                  <c:v>2.1</c:v>
                </c:pt>
                <c:pt idx="28">
                  <c:v>2.2999999999999998</c:v>
                </c:pt>
                <c:pt idx="29">
                  <c:v>2.5</c:v>
                </c:pt>
                <c:pt idx="30">
                  <c:v>2.7</c:v>
                </c:pt>
                <c:pt idx="31">
                  <c:v>2.9</c:v>
                </c:pt>
                <c:pt idx="32">
                  <c:v>3.1</c:v>
                </c:pt>
                <c:pt idx="33">
                  <c:v>3.3</c:v>
                </c:pt>
                <c:pt idx="34">
                  <c:v>3.5</c:v>
                </c:pt>
                <c:pt idx="35">
                  <c:v>3.7</c:v>
                </c:pt>
                <c:pt idx="36">
                  <c:v>3.9</c:v>
                </c:pt>
                <c:pt idx="37">
                  <c:v>4.0999999999999996</c:v>
                </c:pt>
                <c:pt idx="38">
                  <c:v>4.3</c:v>
                </c:pt>
                <c:pt idx="39">
                  <c:v>4.5</c:v>
                </c:pt>
                <c:pt idx="40">
                  <c:v>4.7</c:v>
                </c:pt>
                <c:pt idx="41">
                  <c:v>4.9000000000000004</c:v>
                </c:pt>
                <c:pt idx="42">
                  <c:v>5.0999999999999996</c:v>
                </c:pt>
                <c:pt idx="43">
                  <c:v>5.3</c:v>
                </c:pt>
                <c:pt idx="44">
                  <c:v>5.5</c:v>
                </c:pt>
                <c:pt idx="45">
                  <c:v>5.7</c:v>
                </c:pt>
              </c:numCache>
            </c:numRef>
          </c:xVal>
          <c:yVal>
            <c:numRef>
              <c:f>'0423-600'!$G$65:$G$110</c:f>
              <c:numCache>
                <c:formatCode>0.0000000000_ </c:formatCode>
                <c:ptCount val="46"/>
                <c:pt idx="0">
                  <c:v>1.4957619087323946E-3</c:v>
                </c:pt>
                <c:pt idx="1">
                  <c:v>1.5733434366197183E-3</c:v>
                </c:pt>
                <c:pt idx="2">
                  <c:v>1.3480941656338031E-3</c:v>
                </c:pt>
                <c:pt idx="3">
                  <c:v>1.111269174084507E-3</c:v>
                </c:pt>
                <c:pt idx="4">
                  <c:v>1.5557378546478874E-3</c:v>
                </c:pt>
                <c:pt idx="5">
                  <c:v>1.5325259132394366E-3</c:v>
                </c:pt>
                <c:pt idx="6">
                  <c:v>1.3457077656338029E-3</c:v>
                </c:pt>
                <c:pt idx="7">
                  <c:v>1.815640342535211E-3</c:v>
                </c:pt>
                <c:pt idx="8">
                  <c:v>1.8671193600000003E-3</c:v>
                </c:pt>
                <c:pt idx="9">
                  <c:v>1.9323924416901408E-3</c:v>
                </c:pt>
                <c:pt idx="10">
                  <c:v>1.3261930636619718E-3</c:v>
                </c:pt>
                <c:pt idx="11">
                  <c:v>1.8332795357746479E-3</c:v>
                </c:pt>
                <c:pt idx="12">
                  <c:v>1.4829896270422535E-3</c:v>
                </c:pt>
                <c:pt idx="13">
                  <c:v>1.3705330478873238E-3</c:v>
                </c:pt>
                <c:pt idx="14">
                  <c:v>1.7986128743661973E-3</c:v>
                </c:pt>
                <c:pt idx="15">
                  <c:v>1.720096953239437E-3</c:v>
                </c:pt>
                <c:pt idx="16">
                  <c:v>1.6852420687323941E-3</c:v>
                </c:pt>
                <c:pt idx="17">
                  <c:v>1.6932886061971828E-3</c:v>
                </c:pt>
                <c:pt idx="18">
                  <c:v>1.6836623391549297E-3</c:v>
                </c:pt>
                <c:pt idx="19">
                  <c:v>1.3328077611267607E-3</c:v>
                </c:pt>
                <c:pt idx="20">
                  <c:v>1.3526787425352112E-3</c:v>
                </c:pt>
                <c:pt idx="21">
                  <c:v>1.4113774602816901E-3</c:v>
                </c:pt>
                <c:pt idx="22">
                  <c:v>1.6305699808450704E-3</c:v>
                </c:pt>
                <c:pt idx="23">
                  <c:v>2.0892087250140846E-2</c:v>
                </c:pt>
                <c:pt idx="24">
                  <c:v>3.0071498368450706E-2</c:v>
                </c:pt>
                <c:pt idx="25">
                  <c:v>3.9455802124507042E-2</c:v>
                </c:pt>
                <c:pt idx="26">
                  <c:v>5.0038097654084512E-2</c:v>
                </c:pt>
                <c:pt idx="27">
                  <c:v>7.2001517676056351E-2</c:v>
                </c:pt>
                <c:pt idx="28">
                  <c:v>0.10192945261577467</c:v>
                </c:pt>
                <c:pt idx="29">
                  <c:v>0.14399815228676055</c:v>
                </c:pt>
                <c:pt idx="30">
                  <c:v>0.17470899883436622</c:v>
                </c:pt>
                <c:pt idx="31">
                  <c:v>0.23927241172619726</c:v>
                </c:pt>
                <c:pt idx="32">
                  <c:v>0.2945723881690141</c:v>
                </c:pt>
                <c:pt idx="33">
                  <c:v>0.32582878489746481</c:v>
                </c:pt>
                <c:pt idx="34">
                  <c:v>0.33776751361690144</c:v>
                </c:pt>
                <c:pt idx="35">
                  <c:v>0.30697147817014087</c:v>
                </c:pt>
                <c:pt idx="36">
                  <c:v>0.40035750787943664</c:v>
                </c:pt>
                <c:pt idx="37">
                  <c:v>0.17513534861802818</c:v>
                </c:pt>
                <c:pt idx="38">
                  <c:v>0.36838774563718313</c:v>
                </c:pt>
                <c:pt idx="39">
                  <c:v>0.31863229052619724</c:v>
                </c:pt>
                <c:pt idx="40">
                  <c:v>0.4342624936360564</c:v>
                </c:pt>
                <c:pt idx="41">
                  <c:v>0.37435140001352118</c:v>
                </c:pt>
                <c:pt idx="42">
                  <c:v>0.20418586796619723</c:v>
                </c:pt>
                <c:pt idx="43">
                  <c:v>0.27462267369971827</c:v>
                </c:pt>
                <c:pt idx="44">
                  <c:v>0.44428184429014089</c:v>
                </c:pt>
                <c:pt idx="45">
                  <c:v>0.27216417776450708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FA-4789-A03B-FB27D1218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SO4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'0423-520'!$C$2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('0423-520'!$B$3:$B$7,'0423-520'!$B$3:$B$8)</c:f>
              <c:numCache>
                <c:formatCode>General</c:formatCode>
                <c:ptCount val="11"/>
                <c:pt idx="0">
                  <c:v>0</c:v>
                </c:pt>
                <c:pt idx="1">
                  <c:v>1.2476499999999999</c:v>
                </c:pt>
                <c:pt idx="2">
                  <c:v>2.5257749999999999</c:v>
                </c:pt>
                <c:pt idx="3">
                  <c:v>3.9033180000000001</c:v>
                </c:pt>
                <c:pt idx="4">
                  <c:v>6.6340060000000003</c:v>
                </c:pt>
                <c:pt idx="5">
                  <c:v>0</c:v>
                </c:pt>
                <c:pt idx="6">
                  <c:v>1.2476499999999999</c:v>
                </c:pt>
                <c:pt idx="7">
                  <c:v>2.5257749999999999</c:v>
                </c:pt>
                <c:pt idx="8">
                  <c:v>3.9033180000000001</c:v>
                </c:pt>
                <c:pt idx="9">
                  <c:v>6.6340060000000003</c:v>
                </c:pt>
              </c:numCache>
            </c:numRef>
          </c:xVal>
          <c:yVal>
            <c:numRef>
              <c:f>('0423-520'!$C$3:$C$7,'0423-520'!$C$3:$C$8)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90-424D-BAB0-CD7B421E5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'0423-520'!$C$2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'0423-520'!$F$4:$F$8</c:f>
              <c:numCache>
                <c:formatCode>General</c:formatCode>
                <c:ptCount val="5"/>
                <c:pt idx="0">
                  <c:v>0.32322200000000001</c:v>
                </c:pt>
                <c:pt idx="1">
                  <c:v>1.7661309999999999</c:v>
                </c:pt>
                <c:pt idx="2">
                  <c:v>3.849869</c:v>
                </c:pt>
                <c:pt idx="3">
                  <c:v>8.1827179999999995</c:v>
                </c:pt>
                <c:pt idx="4">
                  <c:v>43.232191999999998</c:v>
                </c:pt>
              </c:numCache>
            </c:numRef>
          </c:xVal>
          <c:yVal>
            <c:numRef>
              <c:f>'0423-520'!$G$4:$G$8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1D-429B-BA97-0B81E1C5C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'0423-520'!$D$12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'0423-520'!$A$15:$A$60</c:f>
              <c:numCache>
                <c:formatCode>General</c:formatCode>
                <c:ptCount val="4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1.3</c:v>
                </c:pt>
                <c:pt idx="24">
                  <c:v>1.5</c:v>
                </c:pt>
                <c:pt idx="25">
                  <c:v>1.7</c:v>
                </c:pt>
                <c:pt idx="26">
                  <c:v>1.9</c:v>
                </c:pt>
                <c:pt idx="27">
                  <c:v>2.1</c:v>
                </c:pt>
                <c:pt idx="28">
                  <c:v>2.2999999999999998</c:v>
                </c:pt>
                <c:pt idx="29">
                  <c:v>2.5</c:v>
                </c:pt>
                <c:pt idx="30">
                  <c:v>2.7</c:v>
                </c:pt>
                <c:pt idx="31">
                  <c:v>2.9</c:v>
                </c:pt>
                <c:pt idx="32">
                  <c:v>3.1</c:v>
                </c:pt>
                <c:pt idx="33">
                  <c:v>3.3</c:v>
                </c:pt>
                <c:pt idx="34">
                  <c:v>3.5</c:v>
                </c:pt>
                <c:pt idx="35">
                  <c:v>3.7</c:v>
                </c:pt>
                <c:pt idx="36">
                  <c:v>3.9</c:v>
                </c:pt>
                <c:pt idx="37">
                  <c:v>4.0999999999999996</c:v>
                </c:pt>
                <c:pt idx="38">
                  <c:v>4.3</c:v>
                </c:pt>
                <c:pt idx="39">
                  <c:v>4.5</c:v>
                </c:pt>
                <c:pt idx="40">
                  <c:v>4.7</c:v>
                </c:pt>
                <c:pt idx="41">
                  <c:v>4.9000000000000004</c:v>
                </c:pt>
                <c:pt idx="42">
                  <c:v>5.0999999999999996</c:v>
                </c:pt>
                <c:pt idx="43">
                  <c:v>5.3</c:v>
                </c:pt>
                <c:pt idx="44">
                  <c:v>5.5</c:v>
                </c:pt>
                <c:pt idx="45">
                  <c:v>5.7</c:v>
                </c:pt>
              </c:numCache>
            </c:numRef>
          </c:xVal>
          <c:yVal>
            <c:numRef>
              <c:f>'0423-520'!$G$15:$G$60</c:f>
              <c:numCache>
                <c:formatCode>0.0000000000_ </c:formatCode>
                <c:ptCount val="46"/>
                <c:pt idx="0">
                  <c:v>0.54707988039729161</c:v>
                </c:pt>
                <c:pt idx="1">
                  <c:v>0.5098235738947916</c:v>
                </c:pt>
                <c:pt idx="2">
                  <c:v>0.56761217392187502</c:v>
                </c:pt>
                <c:pt idx="3">
                  <c:v>0.50227511120520829</c:v>
                </c:pt>
                <c:pt idx="4">
                  <c:v>0.46263932035833322</c:v>
                </c:pt>
                <c:pt idx="5">
                  <c:v>0.52632874761666659</c:v>
                </c:pt>
                <c:pt idx="6">
                  <c:v>0.4502701129945833</c:v>
                </c:pt>
                <c:pt idx="7">
                  <c:v>0.46091462421999996</c:v>
                </c:pt>
                <c:pt idx="8">
                  <c:v>0.4217742494672917</c:v>
                </c:pt>
                <c:pt idx="9">
                  <c:v>0.40011946601291659</c:v>
                </c:pt>
                <c:pt idx="10">
                  <c:v>0.36375050761333322</c:v>
                </c:pt>
                <c:pt idx="11">
                  <c:v>0.35654643880145825</c:v>
                </c:pt>
                <c:pt idx="12">
                  <c:v>0.33628552515333332</c:v>
                </c:pt>
                <c:pt idx="13">
                  <c:v>0.32793240646187494</c:v>
                </c:pt>
                <c:pt idx="14">
                  <c:v>0.31203728818124993</c:v>
                </c:pt>
                <c:pt idx="15">
                  <c:v>0.30854334933666661</c:v>
                </c:pt>
                <c:pt idx="16">
                  <c:v>0.27562829331583333</c:v>
                </c:pt>
                <c:pt idx="17">
                  <c:v>0.28728207022020824</c:v>
                </c:pt>
                <c:pt idx="18">
                  <c:v>0.27719272773499992</c:v>
                </c:pt>
                <c:pt idx="19">
                  <c:v>0.2713791689102083</c:v>
                </c:pt>
                <c:pt idx="20">
                  <c:v>0.28871662611249999</c:v>
                </c:pt>
                <c:pt idx="21">
                  <c:v>0.28095313085854168</c:v>
                </c:pt>
                <c:pt idx="22">
                  <c:v>0.28512159477791665</c:v>
                </c:pt>
                <c:pt idx="23">
                  <c:v>0.20835419554458334</c:v>
                </c:pt>
                <c:pt idx="24">
                  <c:v>0.12344661105833335</c:v>
                </c:pt>
                <c:pt idx="25">
                  <c:v>7.6960900547916669E-2</c:v>
                </c:pt>
                <c:pt idx="26">
                  <c:v>3.8248676591666662E-2</c:v>
                </c:pt>
                <c:pt idx="27">
                  <c:v>2.4659537418750002E-2</c:v>
                </c:pt>
                <c:pt idx="28">
                  <c:v>1.3578354941666669E-2</c:v>
                </c:pt>
                <c:pt idx="29">
                  <c:v>6.006312907291666E-3</c:v>
                </c:pt>
                <c:pt idx="30">
                  <c:v>4.523608077083332E-3</c:v>
                </c:pt>
                <c:pt idx="31">
                  <c:v>1.0012869072916668E-3</c:v>
                </c:pt>
                <c:pt idx="32">
                  <c:v>2.2280943885416675E-3</c:v>
                </c:pt>
                <c:pt idx="33">
                  <c:v>1.0186297604166668E-3</c:v>
                </c:pt>
                <c:pt idx="34">
                  <c:v>8.8835799270833328E-4</c:v>
                </c:pt>
                <c:pt idx="35">
                  <c:v>2.9807012083333335E-4</c:v>
                </c:pt>
                <c:pt idx="36">
                  <c:v>4.4820026875000001E-4</c:v>
                </c:pt>
                <c:pt idx="37">
                  <c:v>2.0643986458333333E-4</c:v>
                </c:pt>
                <c:pt idx="38">
                  <c:v>2.6623719687499998E-4</c:v>
                </c:pt>
                <c:pt idx="39">
                  <c:v>1.2862120104166667E-4</c:v>
                </c:pt>
                <c:pt idx="40">
                  <c:v>1.2849820208333336E-4</c:v>
                </c:pt>
                <c:pt idx="41">
                  <c:v>1.1984859791666665E-4</c:v>
                </c:pt>
                <c:pt idx="42">
                  <c:v>1.2300292604166667E-4</c:v>
                </c:pt>
                <c:pt idx="43">
                  <c:v>9.6355796875000009E-5</c:v>
                </c:pt>
                <c:pt idx="44">
                  <c:v>7.949700416666666E-5</c:v>
                </c:pt>
                <c:pt idx="45">
                  <c:v>4.5946062500000032E-5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3E-402C-9D95-80482F3617A1}"/>
            </c:ext>
          </c:extLst>
        </c:ser>
        <c:ser>
          <c:idx val="1"/>
          <c:order val="1"/>
          <c:tx>
            <c:strRef>
              <c:f>'0423-520'!$D$62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'0423-520'!$A$65:$A$110</c:f>
              <c:numCache>
                <c:formatCode>General</c:formatCode>
                <c:ptCount val="4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1.3</c:v>
                </c:pt>
                <c:pt idx="24">
                  <c:v>1.5</c:v>
                </c:pt>
                <c:pt idx="25">
                  <c:v>1.7</c:v>
                </c:pt>
                <c:pt idx="26">
                  <c:v>1.9</c:v>
                </c:pt>
                <c:pt idx="27">
                  <c:v>2.1</c:v>
                </c:pt>
                <c:pt idx="28">
                  <c:v>2.2999999999999998</c:v>
                </c:pt>
                <c:pt idx="29">
                  <c:v>2.5</c:v>
                </c:pt>
                <c:pt idx="30">
                  <c:v>2.7</c:v>
                </c:pt>
                <c:pt idx="31">
                  <c:v>2.9</c:v>
                </c:pt>
                <c:pt idx="32">
                  <c:v>3.1</c:v>
                </c:pt>
                <c:pt idx="33">
                  <c:v>3.3</c:v>
                </c:pt>
                <c:pt idx="34">
                  <c:v>3.5</c:v>
                </c:pt>
                <c:pt idx="35">
                  <c:v>3.7</c:v>
                </c:pt>
                <c:pt idx="36">
                  <c:v>3.9</c:v>
                </c:pt>
                <c:pt idx="37">
                  <c:v>4.0999999999999996</c:v>
                </c:pt>
                <c:pt idx="38">
                  <c:v>4.3</c:v>
                </c:pt>
                <c:pt idx="39">
                  <c:v>4.5</c:v>
                </c:pt>
                <c:pt idx="40">
                  <c:v>4.7</c:v>
                </c:pt>
                <c:pt idx="41">
                  <c:v>4.9000000000000004</c:v>
                </c:pt>
                <c:pt idx="42">
                  <c:v>5.0999999999999996</c:v>
                </c:pt>
                <c:pt idx="43">
                  <c:v>5.3</c:v>
                </c:pt>
                <c:pt idx="44">
                  <c:v>5.5</c:v>
                </c:pt>
                <c:pt idx="45">
                  <c:v>5.7</c:v>
                </c:pt>
              </c:numCache>
            </c:numRef>
          </c:xVal>
          <c:yVal>
            <c:numRef>
              <c:f>'0423-520'!$G$65:$G$110</c:f>
              <c:numCache>
                <c:formatCode>0.0000000000_ </c:formatCode>
                <c:ptCount val="46"/>
                <c:pt idx="0">
                  <c:v>1.4953565568450705E-2</c:v>
                </c:pt>
                <c:pt idx="1">
                  <c:v>1.3605370569014084E-2</c:v>
                </c:pt>
                <c:pt idx="2">
                  <c:v>1.5141062663661973E-2</c:v>
                </c:pt>
                <c:pt idx="3">
                  <c:v>1.2909919830985914E-2</c:v>
                </c:pt>
                <c:pt idx="4">
                  <c:v>1.1752119218028169E-2</c:v>
                </c:pt>
                <c:pt idx="5">
                  <c:v>1.4056702670422534E-2</c:v>
                </c:pt>
                <c:pt idx="6">
                  <c:v>1.2446649007323944E-2</c:v>
                </c:pt>
                <c:pt idx="7">
                  <c:v>1.3773534463098589E-2</c:v>
                </c:pt>
                <c:pt idx="8">
                  <c:v>1.3257493949295776E-2</c:v>
                </c:pt>
                <c:pt idx="9">
                  <c:v>1.3226356470985917E-2</c:v>
                </c:pt>
                <c:pt idx="10">
                  <c:v>1.2478008319999999E-2</c:v>
                </c:pt>
                <c:pt idx="11">
                  <c:v>1.271891371943662E-2</c:v>
                </c:pt>
                <c:pt idx="12">
                  <c:v>1.228136896E-2</c:v>
                </c:pt>
                <c:pt idx="13">
                  <c:v>1.2271238523943661E-2</c:v>
                </c:pt>
                <c:pt idx="14">
                  <c:v>1.1886799567323945E-2</c:v>
                </c:pt>
                <c:pt idx="15">
                  <c:v>1.1954129658591547E-2</c:v>
                </c:pt>
                <c:pt idx="16">
                  <c:v>1.0665124101408453E-2</c:v>
                </c:pt>
                <c:pt idx="17">
                  <c:v>1.1268533744225352E-2</c:v>
                </c:pt>
                <c:pt idx="18">
                  <c:v>1.0868761327323943E-2</c:v>
                </c:pt>
                <c:pt idx="19">
                  <c:v>1.068736803830986E-2</c:v>
                </c:pt>
                <c:pt idx="20">
                  <c:v>1.1508128304225353E-2</c:v>
                </c:pt>
                <c:pt idx="21">
                  <c:v>1.1215253162816902E-2</c:v>
                </c:pt>
                <c:pt idx="22">
                  <c:v>1.162957925859155E-2</c:v>
                </c:pt>
                <c:pt idx="23">
                  <c:v>6.6577314551549305E-2</c:v>
                </c:pt>
                <c:pt idx="24">
                  <c:v>8.402576213971831E-2</c:v>
                </c:pt>
                <c:pt idx="25">
                  <c:v>0.14119453410478874</c:v>
                </c:pt>
                <c:pt idx="26">
                  <c:v>0.18621691960338033</c:v>
                </c:pt>
                <c:pt idx="27">
                  <c:v>0.26856057358816904</c:v>
                </c:pt>
                <c:pt idx="28">
                  <c:v>0.29866054669915504</c:v>
                </c:pt>
                <c:pt idx="29">
                  <c:v>0.24424990261915497</c:v>
                </c:pt>
                <c:pt idx="30">
                  <c:v>0.31065123071098594</c:v>
                </c:pt>
                <c:pt idx="31">
                  <c:v>0.10830434345971833</c:v>
                </c:pt>
                <c:pt idx="32">
                  <c:v>0.38617406604845078</c:v>
                </c:pt>
                <c:pt idx="33">
                  <c:v>0.27157354911154929</c:v>
                </c:pt>
                <c:pt idx="34">
                  <c:v>0.34706900790591549</c:v>
                </c:pt>
                <c:pt idx="35">
                  <c:v>0.15474428217633807</c:v>
                </c:pt>
                <c:pt idx="36">
                  <c:v>0.3515018114890141</c:v>
                </c:pt>
                <c:pt idx="37">
                  <c:v>0.19630405792507044</c:v>
                </c:pt>
                <c:pt idx="38">
                  <c:v>0.38274082005971832</c:v>
                </c:pt>
                <c:pt idx="39">
                  <c:v>0.21001345020281689</c:v>
                </c:pt>
                <c:pt idx="40">
                  <c:v>0.28474222851549297</c:v>
                </c:pt>
                <c:pt idx="41">
                  <c:v>0.30839713060901414</c:v>
                </c:pt>
                <c:pt idx="42">
                  <c:v>0.43734699593464793</c:v>
                </c:pt>
                <c:pt idx="43">
                  <c:v>0.35494885687661976</c:v>
                </c:pt>
                <c:pt idx="44">
                  <c:v>0.39970328824957752</c:v>
                </c:pt>
                <c:pt idx="45">
                  <c:v>0.32873242420788734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3E-402C-9D95-80482F361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'0423-600'!$D$12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'0423-600'!$A$15:$A$60</c:f>
              <c:numCache>
                <c:formatCode>General</c:formatCode>
                <c:ptCount val="4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1.3</c:v>
                </c:pt>
                <c:pt idx="24">
                  <c:v>1.5</c:v>
                </c:pt>
                <c:pt idx="25">
                  <c:v>1.7</c:v>
                </c:pt>
                <c:pt idx="26">
                  <c:v>1.9</c:v>
                </c:pt>
                <c:pt idx="27">
                  <c:v>2.1</c:v>
                </c:pt>
                <c:pt idx="28">
                  <c:v>2.2999999999999998</c:v>
                </c:pt>
                <c:pt idx="29">
                  <c:v>2.5</c:v>
                </c:pt>
                <c:pt idx="30">
                  <c:v>2.7</c:v>
                </c:pt>
                <c:pt idx="31">
                  <c:v>2.9</c:v>
                </c:pt>
                <c:pt idx="32">
                  <c:v>3.1</c:v>
                </c:pt>
                <c:pt idx="33">
                  <c:v>3.3</c:v>
                </c:pt>
                <c:pt idx="34">
                  <c:v>3.5</c:v>
                </c:pt>
                <c:pt idx="35">
                  <c:v>3.7</c:v>
                </c:pt>
                <c:pt idx="36">
                  <c:v>3.9</c:v>
                </c:pt>
                <c:pt idx="37">
                  <c:v>4.0999999999999996</c:v>
                </c:pt>
                <c:pt idx="38">
                  <c:v>4.3</c:v>
                </c:pt>
                <c:pt idx="39">
                  <c:v>4.5</c:v>
                </c:pt>
                <c:pt idx="40">
                  <c:v>4.7</c:v>
                </c:pt>
                <c:pt idx="41">
                  <c:v>4.9000000000000004</c:v>
                </c:pt>
                <c:pt idx="42">
                  <c:v>5.0999999999999996</c:v>
                </c:pt>
                <c:pt idx="43">
                  <c:v>5.3</c:v>
                </c:pt>
                <c:pt idx="44">
                  <c:v>5.5</c:v>
                </c:pt>
                <c:pt idx="45">
                  <c:v>5.7</c:v>
                </c:pt>
              </c:numCache>
            </c:numRef>
          </c:xVal>
          <c:yVal>
            <c:numRef>
              <c:f>'0423-600'!$G$15:$G$60</c:f>
              <c:numCache>
                <c:formatCode>0.0000000000_ </c:formatCode>
                <c:ptCount val="46"/>
                <c:pt idx="0">
                  <c:v>0.10388562518416668</c:v>
                </c:pt>
                <c:pt idx="1">
                  <c:v>8.9087769225625002E-2</c:v>
                </c:pt>
                <c:pt idx="2">
                  <c:v>6.9509068514375008E-2</c:v>
                </c:pt>
                <c:pt idx="3">
                  <c:v>5.6836674710208333E-2</c:v>
                </c:pt>
                <c:pt idx="4">
                  <c:v>0.10747752013583332</c:v>
                </c:pt>
                <c:pt idx="5">
                  <c:v>0.14535772271395833</c:v>
                </c:pt>
                <c:pt idx="6">
                  <c:v>0.15454332763354164</c:v>
                </c:pt>
                <c:pt idx="7">
                  <c:v>0.23081175234354165</c:v>
                </c:pt>
                <c:pt idx="8">
                  <c:v>0.25127055189270836</c:v>
                </c:pt>
                <c:pt idx="9">
                  <c:v>0.262920178675625</c:v>
                </c:pt>
                <c:pt idx="10">
                  <c:v>0.18471238524354167</c:v>
                </c:pt>
                <c:pt idx="11">
                  <c:v>0.26829772234708338</c:v>
                </c:pt>
                <c:pt idx="12">
                  <c:v>0.22186615519583333</c:v>
                </c:pt>
                <c:pt idx="13">
                  <c:v>0.20927561767562497</c:v>
                </c:pt>
                <c:pt idx="14">
                  <c:v>0.28044962140687496</c:v>
                </c:pt>
                <c:pt idx="15">
                  <c:v>0.27330242125833332</c:v>
                </c:pt>
                <c:pt idx="16">
                  <c:v>0.27302062677</c:v>
                </c:pt>
                <c:pt idx="17">
                  <c:v>0.27878963902687492</c:v>
                </c:pt>
                <c:pt idx="18">
                  <c:v>0.28100962299041665</c:v>
                </c:pt>
                <c:pt idx="19">
                  <c:v>0.22561088468020829</c:v>
                </c:pt>
                <c:pt idx="20">
                  <c:v>0.23274074783083332</c:v>
                </c:pt>
                <c:pt idx="21">
                  <c:v>0.24673819307624997</c:v>
                </c:pt>
                <c:pt idx="22">
                  <c:v>0.28617522082791669</c:v>
                </c:pt>
                <c:pt idx="23">
                  <c:v>0.25890284041541667</c:v>
                </c:pt>
                <c:pt idx="24">
                  <c:v>0.25022049471250002</c:v>
                </c:pt>
                <c:pt idx="25">
                  <c:v>0.24059681815</c:v>
                </c:pt>
                <c:pt idx="26">
                  <c:v>0.22409256795520835</c:v>
                </c:pt>
                <c:pt idx="27">
                  <c:v>0.2235594150833333</c:v>
                </c:pt>
                <c:pt idx="28">
                  <c:v>0.20676332406979164</c:v>
                </c:pt>
                <c:pt idx="29">
                  <c:v>0.18084717374479167</c:v>
                </c:pt>
                <c:pt idx="30">
                  <c:v>0.13140468333958333</c:v>
                </c:pt>
                <c:pt idx="31">
                  <c:v>0.10749162263124999</c:v>
                </c:pt>
                <c:pt idx="32">
                  <c:v>8.045467008854168E-2</c:v>
                </c:pt>
                <c:pt idx="33">
                  <c:v>5.533469202083334E-2</c:v>
                </c:pt>
                <c:pt idx="34">
                  <c:v>3.6594792920833334E-2</c:v>
                </c:pt>
                <c:pt idx="35">
                  <c:v>2.1419030668750002E-2</c:v>
                </c:pt>
                <c:pt idx="36">
                  <c:v>1.9306658461458338E-2</c:v>
                </c:pt>
                <c:pt idx="37">
                  <c:v>5.4531072374999993E-3</c:v>
                </c:pt>
                <c:pt idx="38">
                  <c:v>8.609538247916668E-3</c:v>
                </c:pt>
                <c:pt idx="39">
                  <c:v>5.3548905854166667E-3</c:v>
                </c:pt>
                <c:pt idx="40">
                  <c:v>5.5590014052083339E-3</c:v>
                </c:pt>
                <c:pt idx="41">
                  <c:v>3.6170700447916673E-3</c:v>
                </c:pt>
                <c:pt idx="42">
                  <c:v>1.5008967729166667E-3</c:v>
                </c:pt>
                <c:pt idx="43">
                  <c:v>1.5873928145833335E-3</c:v>
                </c:pt>
                <c:pt idx="44">
                  <c:v>2.0531184510416672E-3</c:v>
                </c:pt>
                <c:pt idx="45">
                  <c:v>1.0122615885416668E-3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B9-4BF1-B5F4-A9A5AAC4E162}"/>
            </c:ext>
          </c:extLst>
        </c:ser>
        <c:ser>
          <c:idx val="1"/>
          <c:order val="1"/>
          <c:tx>
            <c:strRef>
              <c:f>'0423-600'!$D$62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'0423-600'!$A$65:$A$110</c:f>
              <c:numCache>
                <c:formatCode>General</c:formatCode>
                <c:ptCount val="4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1.3</c:v>
                </c:pt>
                <c:pt idx="24">
                  <c:v>1.5</c:v>
                </c:pt>
                <c:pt idx="25">
                  <c:v>1.7</c:v>
                </c:pt>
                <c:pt idx="26">
                  <c:v>1.9</c:v>
                </c:pt>
                <c:pt idx="27">
                  <c:v>2.1</c:v>
                </c:pt>
                <c:pt idx="28">
                  <c:v>2.2999999999999998</c:v>
                </c:pt>
                <c:pt idx="29">
                  <c:v>2.5</c:v>
                </c:pt>
                <c:pt idx="30">
                  <c:v>2.7</c:v>
                </c:pt>
                <c:pt idx="31">
                  <c:v>2.9</c:v>
                </c:pt>
                <c:pt idx="32">
                  <c:v>3.1</c:v>
                </c:pt>
                <c:pt idx="33">
                  <c:v>3.3</c:v>
                </c:pt>
                <c:pt idx="34">
                  <c:v>3.5</c:v>
                </c:pt>
                <c:pt idx="35">
                  <c:v>3.7</c:v>
                </c:pt>
                <c:pt idx="36">
                  <c:v>3.9</c:v>
                </c:pt>
                <c:pt idx="37">
                  <c:v>4.0999999999999996</c:v>
                </c:pt>
                <c:pt idx="38">
                  <c:v>4.3</c:v>
                </c:pt>
                <c:pt idx="39">
                  <c:v>4.5</c:v>
                </c:pt>
                <c:pt idx="40">
                  <c:v>4.7</c:v>
                </c:pt>
                <c:pt idx="41">
                  <c:v>4.9000000000000004</c:v>
                </c:pt>
                <c:pt idx="42">
                  <c:v>5.0999999999999996</c:v>
                </c:pt>
                <c:pt idx="43">
                  <c:v>5.3</c:v>
                </c:pt>
                <c:pt idx="44">
                  <c:v>5.5</c:v>
                </c:pt>
                <c:pt idx="45">
                  <c:v>5.7</c:v>
                </c:pt>
              </c:numCache>
            </c:numRef>
          </c:xVal>
          <c:yVal>
            <c:numRef>
              <c:f>'0423-600'!$G$65:$G$110</c:f>
              <c:numCache>
                <c:formatCode>0.0000000000_ </c:formatCode>
                <c:ptCount val="46"/>
                <c:pt idx="0">
                  <c:v>1.4957619087323946E-3</c:v>
                </c:pt>
                <c:pt idx="1">
                  <c:v>1.5733434366197183E-3</c:v>
                </c:pt>
                <c:pt idx="2">
                  <c:v>1.3480941656338031E-3</c:v>
                </c:pt>
                <c:pt idx="3">
                  <c:v>1.111269174084507E-3</c:v>
                </c:pt>
                <c:pt idx="4">
                  <c:v>1.5557378546478874E-3</c:v>
                </c:pt>
                <c:pt idx="5">
                  <c:v>1.5325259132394366E-3</c:v>
                </c:pt>
                <c:pt idx="6">
                  <c:v>1.3457077656338029E-3</c:v>
                </c:pt>
                <c:pt idx="7">
                  <c:v>1.815640342535211E-3</c:v>
                </c:pt>
                <c:pt idx="8">
                  <c:v>1.8671193600000003E-3</c:v>
                </c:pt>
                <c:pt idx="9">
                  <c:v>1.9323924416901408E-3</c:v>
                </c:pt>
                <c:pt idx="10">
                  <c:v>1.3261930636619718E-3</c:v>
                </c:pt>
                <c:pt idx="11">
                  <c:v>1.8332795357746479E-3</c:v>
                </c:pt>
                <c:pt idx="12">
                  <c:v>1.4829896270422535E-3</c:v>
                </c:pt>
                <c:pt idx="13">
                  <c:v>1.3705330478873238E-3</c:v>
                </c:pt>
                <c:pt idx="14">
                  <c:v>1.7986128743661973E-3</c:v>
                </c:pt>
                <c:pt idx="15">
                  <c:v>1.720096953239437E-3</c:v>
                </c:pt>
                <c:pt idx="16">
                  <c:v>1.6852420687323941E-3</c:v>
                </c:pt>
                <c:pt idx="17">
                  <c:v>1.6932886061971828E-3</c:v>
                </c:pt>
                <c:pt idx="18">
                  <c:v>1.6836623391549297E-3</c:v>
                </c:pt>
                <c:pt idx="19">
                  <c:v>1.3328077611267607E-3</c:v>
                </c:pt>
                <c:pt idx="20">
                  <c:v>1.3526787425352112E-3</c:v>
                </c:pt>
                <c:pt idx="21">
                  <c:v>1.4113774602816901E-3</c:v>
                </c:pt>
                <c:pt idx="22">
                  <c:v>1.6305699808450704E-3</c:v>
                </c:pt>
                <c:pt idx="23">
                  <c:v>2.0892087250140846E-2</c:v>
                </c:pt>
                <c:pt idx="24">
                  <c:v>3.0071498368450706E-2</c:v>
                </c:pt>
                <c:pt idx="25">
                  <c:v>3.9455802124507042E-2</c:v>
                </c:pt>
                <c:pt idx="26">
                  <c:v>5.0038097654084512E-2</c:v>
                </c:pt>
                <c:pt idx="27">
                  <c:v>7.2001517676056351E-2</c:v>
                </c:pt>
                <c:pt idx="28">
                  <c:v>0.10192945261577467</c:v>
                </c:pt>
                <c:pt idx="29">
                  <c:v>0.14399815228676055</c:v>
                </c:pt>
                <c:pt idx="30">
                  <c:v>0.17470899883436622</c:v>
                </c:pt>
                <c:pt idx="31">
                  <c:v>0.23927241172619726</c:v>
                </c:pt>
                <c:pt idx="32">
                  <c:v>0.2945723881690141</c:v>
                </c:pt>
                <c:pt idx="33">
                  <c:v>0.32582878489746481</c:v>
                </c:pt>
                <c:pt idx="34">
                  <c:v>0.33776751361690144</c:v>
                </c:pt>
                <c:pt idx="35">
                  <c:v>0.30697147817014087</c:v>
                </c:pt>
                <c:pt idx="36">
                  <c:v>0.40035750787943664</c:v>
                </c:pt>
                <c:pt idx="37">
                  <c:v>0.17513534861802818</c:v>
                </c:pt>
                <c:pt idx="38">
                  <c:v>0.36838774563718313</c:v>
                </c:pt>
                <c:pt idx="39">
                  <c:v>0.31863229052619724</c:v>
                </c:pt>
                <c:pt idx="40">
                  <c:v>0.4342624936360564</c:v>
                </c:pt>
                <c:pt idx="41">
                  <c:v>0.37435140001352118</c:v>
                </c:pt>
                <c:pt idx="42">
                  <c:v>0.20418586796619723</c:v>
                </c:pt>
                <c:pt idx="43">
                  <c:v>0.27462267369971827</c:v>
                </c:pt>
                <c:pt idx="44">
                  <c:v>0.44428184429014089</c:v>
                </c:pt>
                <c:pt idx="45">
                  <c:v>0.27216417776450708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B9-4BF1-B5F4-A9A5AAC4E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SO4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'0512-520'!$C$2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('0512-520'!$B$3:$B$7,'0512-520'!$B$3:$B$8)</c:f>
              <c:numCache>
                <c:formatCode>General</c:formatCode>
                <c:ptCount val="11"/>
                <c:pt idx="0">
                  <c:v>0</c:v>
                </c:pt>
                <c:pt idx="1">
                  <c:v>0.96203399999999994</c:v>
                </c:pt>
                <c:pt idx="2">
                  <c:v>1.9548989999999999</c:v>
                </c:pt>
                <c:pt idx="3">
                  <c:v>2.9932799999999999</c:v>
                </c:pt>
                <c:pt idx="4">
                  <c:v>5.2209680000000001</c:v>
                </c:pt>
                <c:pt idx="5">
                  <c:v>0</c:v>
                </c:pt>
                <c:pt idx="6">
                  <c:v>0.96203399999999994</c:v>
                </c:pt>
                <c:pt idx="7">
                  <c:v>1.9548989999999999</c:v>
                </c:pt>
                <c:pt idx="8">
                  <c:v>2.9932799999999999</c:v>
                </c:pt>
                <c:pt idx="9">
                  <c:v>5.2209680000000001</c:v>
                </c:pt>
              </c:numCache>
            </c:numRef>
          </c:xVal>
          <c:yVal>
            <c:numRef>
              <c:f>('0512-520'!$C$3:$C$7,'0512-520'!$C$3:$C$8)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FD-4B4E-9183-29BAE3D6C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'0512-520'!$C$2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'0512-520'!$F$4:$F$8</c:f>
              <c:numCache>
                <c:formatCode>General</c:formatCode>
                <c:ptCount val="5"/>
                <c:pt idx="0">
                  <c:v>0.24932499999999999</c:v>
                </c:pt>
                <c:pt idx="1">
                  <c:v>1.3831119999999999</c:v>
                </c:pt>
                <c:pt idx="2">
                  <c:v>3.0579619999999998</c:v>
                </c:pt>
                <c:pt idx="3">
                  <c:v>6.4836780000000003</c:v>
                </c:pt>
                <c:pt idx="4">
                  <c:v>34.605232000000001</c:v>
                </c:pt>
              </c:numCache>
            </c:numRef>
          </c:xVal>
          <c:yVal>
            <c:numRef>
              <c:f>'0512-520'!$G$4:$G$8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14-4927-94CE-91152679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'0512-520'!$D$12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'0512-520'!$A$15:$A$37</c:f>
              <c:numCache>
                <c:formatCode>General</c:formatCode>
                <c:ptCount val="2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</c:numCache>
            </c:numRef>
          </c:xVal>
          <c:yVal>
            <c:numRef>
              <c:f>'0512-520'!$G$15:$G$37</c:f>
              <c:numCache>
                <c:formatCode>0.0000000000_ </c:formatCode>
                <c:ptCount val="23"/>
                <c:pt idx="0">
                  <c:v>1.2939787328125E-3</c:v>
                </c:pt>
                <c:pt idx="1">
                  <c:v>2.0878257825104166E-2</c:v>
                </c:pt>
                <c:pt idx="2">
                  <c:v>0.17970226872427081</c:v>
                </c:pt>
                <c:pt idx="3">
                  <c:v>0.19334839373572912</c:v>
                </c:pt>
                <c:pt idx="4">
                  <c:v>0.28913846197468746</c:v>
                </c:pt>
                <c:pt idx="5">
                  <c:v>0.41766757140208344</c:v>
                </c:pt>
                <c:pt idx="6">
                  <c:v>0.32829013389302081</c:v>
                </c:pt>
                <c:pt idx="7">
                  <c:v>0.3516542390900001</c:v>
                </c:pt>
                <c:pt idx="8">
                  <c:v>0.47771582508124999</c:v>
                </c:pt>
                <c:pt idx="9">
                  <c:v>0.44293181844114582</c:v>
                </c:pt>
                <c:pt idx="10">
                  <c:v>0.4797118335690625</c:v>
                </c:pt>
                <c:pt idx="11">
                  <c:v>0.50755203378760416</c:v>
                </c:pt>
                <c:pt idx="12">
                  <c:v>0.31293427950385416</c:v>
                </c:pt>
                <c:pt idx="13">
                  <c:v>0.42676088165885406</c:v>
                </c:pt>
                <c:pt idx="14">
                  <c:v>0.34167976952520829</c:v>
                </c:pt>
                <c:pt idx="15">
                  <c:v>0.47694656014760423</c:v>
                </c:pt>
                <c:pt idx="16">
                  <c:v>0.45222717968093751</c:v>
                </c:pt>
                <c:pt idx="17">
                  <c:v>0.45651121120427074</c:v>
                </c:pt>
                <c:pt idx="18">
                  <c:v>0.28749465202864583</c:v>
                </c:pt>
                <c:pt idx="19">
                  <c:v>0.48354235911333332</c:v>
                </c:pt>
                <c:pt idx="20">
                  <c:v>0.4930655782653125</c:v>
                </c:pt>
                <c:pt idx="21">
                  <c:v>0.46004713642781253</c:v>
                </c:pt>
                <c:pt idx="22">
                  <c:v>0.45182773617041672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9C-45B0-B219-9E101FBC3AED}"/>
            </c:ext>
          </c:extLst>
        </c:ser>
        <c:ser>
          <c:idx val="1"/>
          <c:order val="1"/>
          <c:tx>
            <c:strRef>
              <c:f>'0512-520'!$D$44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'0512-520'!$A$47:$A$69</c:f>
              <c:numCache>
                <c:formatCode>General</c:formatCode>
                <c:ptCount val="2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</c:numCache>
            </c:numRef>
          </c:xVal>
          <c:yVal>
            <c:numRef>
              <c:f>'0512-520'!$G$47:$G$69</c:f>
              <c:numCache>
                <c:formatCode>0.0000000000_ </c:formatCode>
                <c:ptCount val="23"/>
                <c:pt idx="0">
                  <c:v>0.45199878126366194</c:v>
                </c:pt>
                <c:pt idx="1">
                  <c:v>0.29205914791830984</c:v>
                </c:pt>
                <c:pt idx="2">
                  <c:v>0.28842744127746484</c:v>
                </c:pt>
                <c:pt idx="3">
                  <c:v>0.15723487075436621</c:v>
                </c:pt>
                <c:pt idx="4">
                  <c:v>0.16200583157492957</c:v>
                </c:pt>
                <c:pt idx="5">
                  <c:v>0.18255135252845073</c:v>
                </c:pt>
                <c:pt idx="6">
                  <c:v>0.11641833611492959</c:v>
                </c:pt>
                <c:pt idx="7">
                  <c:v>0.10661171920704225</c:v>
                </c:pt>
                <c:pt idx="8">
                  <c:v>0.12987781959887323</c:v>
                </c:pt>
                <c:pt idx="9">
                  <c:v>0.10528599616197183</c:v>
                </c:pt>
                <c:pt idx="10">
                  <c:v>0.10309451314225353</c:v>
                </c:pt>
                <c:pt idx="11">
                  <c:v>9.9435592700563388E-2</c:v>
                </c:pt>
                <c:pt idx="12">
                  <c:v>5.4243845218028178E-2</c:v>
                </c:pt>
                <c:pt idx="13">
                  <c:v>7.0193371054647888E-2</c:v>
                </c:pt>
                <c:pt idx="14">
                  <c:v>5.0817005965352109E-2</c:v>
                </c:pt>
                <c:pt idx="15">
                  <c:v>6.7989812983098585E-2</c:v>
                </c:pt>
                <c:pt idx="16">
                  <c:v>6.0361868755774643E-2</c:v>
                </c:pt>
                <c:pt idx="17">
                  <c:v>5.6610277601690143E-2</c:v>
                </c:pt>
                <c:pt idx="18">
                  <c:v>3.235838566450705E-2</c:v>
                </c:pt>
                <c:pt idx="19">
                  <c:v>5.3852116811267607E-2</c:v>
                </c:pt>
                <c:pt idx="20">
                  <c:v>5.2013890331549288E-2</c:v>
                </c:pt>
                <c:pt idx="21">
                  <c:v>4.5682935754647894E-2</c:v>
                </c:pt>
                <c:pt idx="22">
                  <c:v>4.252829986929578E-2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9C-45B0-B219-9E101FBC3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SO4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'0512-600'!$C$2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('0512-600'!$B$3:$B$7,'0512-600'!$B$3:$B$8)</c:f>
              <c:numCache>
                <c:formatCode>General</c:formatCode>
                <c:ptCount val="11"/>
                <c:pt idx="0">
                  <c:v>0</c:v>
                </c:pt>
                <c:pt idx="1">
                  <c:v>0.96203399999999994</c:v>
                </c:pt>
                <c:pt idx="2">
                  <c:v>1.9548989999999999</c:v>
                </c:pt>
                <c:pt idx="3">
                  <c:v>2.9932799999999999</c:v>
                </c:pt>
                <c:pt idx="4">
                  <c:v>5.2209680000000001</c:v>
                </c:pt>
                <c:pt idx="5">
                  <c:v>0</c:v>
                </c:pt>
                <c:pt idx="6">
                  <c:v>0.96203399999999994</c:v>
                </c:pt>
                <c:pt idx="7">
                  <c:v>1.9548989999999999</c:v>
                </c:pt>
                <c:pt idx="8">
                  <c:v>2.9932799999999999</c:v>
                </c:pt>
                <c:pt idx="9">
                  <c:v>5.2209680000000001</c:v>
                </c:pt>
              </c:numCache>
            </c:numRef>
          </c:xVal>
          <c:yVal>
            <c:numRef>
              <c:f>('0512-600'!$C$3:$C$7,'0512-600'!$C$3:$C$8)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6C-4D9E-9B56-3B2FDD48B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Cl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'0512-600'!$C$2</c:f>
              <c:strCache>
                <c:ptCount val="1"/>
                <c:pt idx="0">
                  <c:v>ppm</c:v>
                </c:pt>
              </c:strCache>
            </c:strRef>
          </c:tx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'0512-600'!$F$4:$F$8</c:f>
              <c:numCache>
                <c:formatCode>General</c:formatCode>
                <c:ptCount val="5"/>
                <c:pt idx="0">
                  <c:v>0.24932499999999999</c:v>
                </c:pt>
                <c:pt idx="1">
                  <c:v>1.3831119999999999</c:v>
                </c:pt>
                <c:pt idx="2">
                  <c:v>3.0579619999999998</c:v>
                </c:pt>
                <c:pt idx="3">
                  <c:v>6.4836780000000003</c:v>
                </c:pt>
                <c:pt idx="4">
                  <c:v>34.605232000000001</c:v>
                </c:pt>
              </c:numCache>
            </c:numRef>
          </c:xVal>
          <c:yVal>
            <c:numRef>
              <c:f>'0512-600'!$G$4:$G$8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5C-48B7-941E-FA5503D39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'0512-600'!$D$12</c:f>
              <c:strCache>
                <c:ptCount val="1"/>
                <c:pt idx="0">
                  <c:v>SO4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'0512-600'!$A$15:$A$37</c:f>
              <c:numCache>
                <c:formatCode>General</c:formatCode>
                <c:ptCount val="2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</c:numCache>
            </c:numRef>
          </c:xVal>
          <c:yVal>
            <c:numRef>
              <c:f>'0512-600'!$G$15:$G$37</c:f>
              <c:numCache>
                <c:formatCode>0.0000000000_ </c:formatCode>
                <c:ptCount val="23"/>
                <c:pt idx="0">
                  <c:v>4.1351184298958335E-3</c:v>
                </c:pt>
                <c:pt idx="1">
                  <c:v>4.3111023824166664E-2</c:v>
                </c:pt>
                <c:pt idx="2">
                  <c:v>0.11523516771739584</c:v>
                </c:pt>
                <c:pt idx="3">
                  <c:v>0.22913171274656247</c:v>
                </c:pt>
                <c:pt idx="4">
                  <c:v>0.25400679332583331</c:v>
                </c:pt>
                <c:pt idx="5">
                  <c:v>0.28308632051656252</c:v>
                </c:pt>
                <c:pt idx="6">
                  <c:v>0.2654961296327083</c:v>
                </c:pt>
                <c:pt idx="7">
                  <c:v>0.3703892060472917</c:v>
                </c:pt>
                <c:pt idx="8">
                  <c:v>0.32768133420968748</c:v>
                </c:pt>
                <c:pt idx="9">
                  <c:v>0.39689016380489578</c:v>
                </c:pt>
                <c:pt idx="10">
                  <c:v>0.42393568840874996</c:v>
                </c:pt>
                <c:pt idx="11">
                  <c:v>0.39474942314937495</c:v>
                </c:pt>
                <c:pt idx="12">
                  <c:v>0.41893170452291656</c:v>
                </c:pt>
                <c:pt idx="13">
                  <c:v>0.43186477087322916</c:v>
                </c:pt>
                <c:pt idx="14">
                  <c:v>0.43395158622302071</c:v>
                </c:pt>
                <c:pt idx="15">
                  <c:v>0.4754604264746875</c:v>
                </c:pt>
                <c:pt idx="16">
                  <c:v>0.38856659601156246</c:v>
                </c:pt>
                <c:pt idx="17">
                  <c:v>0.41459278247406245</c:v>
                </c:pt>
                <c:pt idx="18">
                  <c:v>0.41574897862166671</c:v>
                </c:pt>
                <c:pt idx="19">
                  <c:v>0.44542973614052078</c:v>
                </c:pt>
                <c:pt idx="20">
                  <c:v>0.46504614181156245</c:v>
                </c:pt>
                <c:pt idx="21">
                  <c:v>0.47519987301208333</c:v>
                </c:pt>
                <c:pt idx="22">
                  <c:v>0.50317669755208327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BF-44F7-B396-CEB0AB0F41B1}"/>
            </c:ext>
          </c:extLst>
        </c:ser>
        <c:ser>
          <c:idx val="1"/>
          <c:order val="1"/>
          <c:tx>
            <c:strRef>
              <c:f>'0512-600'!$D$44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'0512-600'!$A$47:$A$69</c:f>
              <c:numCache>
                <c:formatCode>General</c:formatCode>
                <c:ptCount val="2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</c:numCache>
            </c:numRef>
          </c:xVal>
          <c:yVal>
            <c:numRef>
              <c:f>'0512-600'!$G$47:$G$69</c:f>
              <c:numCache>
                <c:formatCode>0.0000000000_ </c:formatCode>
                <c:ptCount val="23"/>
                <c:pt idx="0">
                  <c:v>0.42678562369830991</c:v>
                </c:pt>
                <c:pt idx="1">
                  <c:v>0.5056679667585916</c:v>
                </c:pt>
                <c:pt idx="2">
                  <c:v>0.35186820315436618</c:v>
                </c:pt>
                <c:pt idx="3">
                  <c:v>0.43275059309464786</c:v>
                </c:pt>
                <c:pt idx="4">
                  <c:v>0.3656635495481691</c:v>
                </c:pt>
                <c:pt idx="5">
                  <c:v>0.32905008881943659</c:v>
                </c:pt>
                <c:pt idx="6">
                  <c:v>0.26321949608225348</c:v>
                </c:pt>
                <c:pt idx="7">
                  <c:v>0.32066877736985916</c:v>
                </c:pt>
                <c:pt idx="8">
                  <c:v>0.24744962544845073</c:v>
                </c:pt>
                <c:pt idx="9">
                  <c:v>0.26802704970197194</c:v>
                </c:pt>
                <c:pt idx="10">
                  <c:v>0.255881393948169</c:v>
                </c:pt>
                <c:pt idx="11">
                  <c:v>0.21504495753183098</c:v>
                </c:pt>
                <c:pt idx="12">
                  <c:v>0.20396964319577465</c:v>
                </c:pt>
                <c:pt idx="13">
                  <c:v>0.19191620064225354</c:v>
                </c:pt>
                <c:pt idx="14">
                  <c:v>0.17503175697323944</c:v>
                </c:pt>
                <c:pt idx="15">
                  <c:v>0.17483449572394369</c:v>
                </c:pt>
                <c:pt idx="16">
                  <c:v>0.12875931686140848</c:v>
                </c:pt>
                <c:pt idx="17">
                  <c:v>0.12637837480788733</c:v>
                </c:pt>
                <c:pt idx="18">
                  <c:v>0.11522717065014083</c:v>
                </c:pt>
                <c:pt idx="19">
                  <c:v>0.11413410885408451</c:v>
                </c:pt>
                <c:pt idx="20">
                  <c:v>0.11777708990056338</c:v>
                </c:pt>
                <c:pt idx="21">
                  <c:v>0.11114285381211268</c:v>
                </c:pt>
                <c:pt idx="22">
                  <c:v>0.10849251065295776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BF-44F7-B396-CEB0AB0F4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22111"/>
        <c:axId val="1090624191"/>
      </c:scatterChart>
      <c:val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crossBetween val="midCat"/>
      </c:val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NH4+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'0512-C104'!$B$4:$B$8</c:f>
              <c:numCache>
                <c:formatCode>General</c:formatCode>
                <c:ptCount val="5"/>
                <c:pt idx="0">
                  <c:v>1.8458000000000001</c:v>
                </c:pt>
                <c:pt idx="1">
                  <c:v>3.5047999999999999</c:v>
                </c:pt>
                <c:pt idx="2">
                  <c:v>8.9468999999999994</c:v>
                </c:pt>
                <c:pt idx="3">
                  <c:v>19.045400000000001</c:v>
                </c:pt>
                <c:pt idx="4">
                  <c:v>37.620800000000003</c:v>
                </c:pt>
              </c:numCache>
            </c:numRef>
          </c:xVal>
          <c:yVal>
            <c:numRef>
              <c:f>'0512-C104'!$C$4:$C$8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'0326-C104'!#REF!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A-10F0-4C5E-A587-D8DA2AC5EE41}"/>
            </c:ext>
          </c:extLst>
        </c:ser>
        <c:ser>
          <c:idx val="0"/>
          <c:order val="1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'0512-C104'!$B$4:$B$8</c:f>
              <c:numCache>
                <c:formatCode>General</c:formatCode>
                <c:ptCount val="5"/>
                <c:pt idx="0">
                  <c:v>1.8458000000000001</c:v>
                </c:pt>
                <c:pt idx="1">
                  <c:v>3.5047999999999999</c:v>
                </c:pt>
                <c:pt idx="2">
                  <c:v>8.9468999999999994</c:v>
                </c:pt>
                <c:pt idx="3">
                  <c:v>19.045400000000001</c:v>
                </c:pt>
                <c:pt idx="4">
                  <c:v>37.620800000000003</c:v>
                </c:pt>
              </c:numCache>
            </c:numRef>
          </c:xVal>
          <c:yVal>
            <c:numRef>
              <c:f>'0512-C104'!$C$4:$C$8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'0326-C104'!#REF!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10F0-4C5E-A587-D8DA2AC5E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3690791776027998"/>
                  <c:y val="3.719889180519101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2000" baseline="0"/>
                      <a:t>y = 0.6395x</a:t>
                    </a:r>
                    <a:br>
                      <a:rPr lang="en-US" altLang="zh-CN" sz="2000" baseline="0"/>
                    </a:br>
                    <a:r>
                      <a:rPr lang="en-US" altLang="zh-CN" sz="2000" baseline="0"/>
                      <a:t>R² = 0.9837</a:t>
                    </a:r>
                    <a:endParaRPr lang="en-US" altLang="zh-CN" sz="20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zh-CN"/>
                </a:p>
              </c:txPr>
            </c:trendlineLbl>
          </c:trendline>
          <c:xVal>
            <c:numRef>
              <c:f>'0512-C104'!$F$3:$F$8</c:f>
              <c:numCache>
                <c:formatCode>General</c:formatCode>
                <c:ptCount val="6"/>
                <c:pt idx="0">
                  <c:v>0</c:v>
                </c:pt>
                <c:pt idx="1">
                  <c:v>6.4912000000000001</c:v>
                </c:pt>
                <c:pt idx="2">
                  <c:v>16.784300000000002</c:v>
                </c:pt>
                <c:pt idx="3">
                  <c:v>30.154599999999999</c:v>
                </c:pt>
                <c:pt idx="4">
                  <c:v>58.863100000000003</c:v>
                </c:pt>
                <c:pt idx="5">
                  <c:v>164.82939999999999</c:v>
                </c:pt>
              </c:numCache>
            </c:numRef>
          </c:xVal>
          <c:yVal>
            <c:numRef>
              <c:f>'0512-C104'!$G$3:$G$8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C6-4223-90DF-610BED845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272800"/>
        <c:axId val="379273216"/>
      </c:scatterChart>
      <c:valAx>
        <c:axId val="37927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9273216"/>
        <c:crosses val="autoZero"/>
        <c:crossBetween val="midCat"/>
      </c:valAx>
      <c:valAx>
        <c:axId val="37927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927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NH4+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'0512-C104'!$A$14:$A$22</c:f>
              <c:numCache>
                <c:formatCode>General</c:formatCode>
                <c:ptCount val="9"/>
                <c:pt idx="0">
                  <c:v>0</c:v>
                </c:pt>
                <c:pt idx="1">
                  <c:v>40</c:v>
                </c:pt>
                <c:pt idx="2">
                  <c:v>200</c:v>
                </c:pt>
                <c:pt idx="3">
                  <c:v>120</c:v>
                </c:pt>
                <c:pt idx="4">
                  <c:v>400</c:v>
                </c:pt>
                <c:pt idx="5">
                  <c:v>200</c:v>
                </c:pt>
                <c:pt idx="6">
                  <c:v>600</c:v>
                </c:pt>
                <c:pt idx="7">
                  <c:v>280</c:v>
                </c:pt>
                <c:pt idx="8">
                  <c:v>800</c:v>
                </c:pt>
              </c:numCache>
            </c:numRef>
          </c:cat>
          <c:val>
            <c:numRef>
              <c:f>'0512-C104'!$G$15:$G$22</c:f>
              <c:numCache>
                <c:formatCode>0.0000000000_ </c:formatCode>
                <c:ptCount val="8"/>
                <c:pt idx="0">
                  <c:v>8.3532297833333324E-2</c:v>
                </c:pt>
                <c:pt idx="1">
                  <c:v>7.0209731666666664E-2</c:v>
                </c:pt>
                <c:pt idx="2">
                  <c:v>4.2765452166666662E-2</c:v>
                </c:pt>
                <c:pt idx="3">
                  <c:v>2.7785505000000005E-2</c:v>
                </c:pt>
                <c:pt idx="4">
                  <c:v>1.7299098833333332E-2</c:v>
                </c:pt>
                <c:pt idx="5">
                  <c:v>9.5292021666666653E-3</c:v>
                </c:pt>
                <c:pt idx="6">
                  <c:v>4.9883918333333338E-3</c:v>
                </c:pt>
                <c:pt idx="7">
                  <c:v>4.5349016666666664E-3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63-4660-AE80-16AD0C10136A}"/>
            </c:ext>
          </c:extLst>
        </c:ser>
        <c:ser>
          <c:idx val="1"/>
          <c:order val="1"/>
          <c:tx>
            <c:strRef>
              <c:f>'0512-C104'!$A$25</c:f>
              <c:strCache>
                <c:ptCount val="1"/>
                <c:pt idx="0">
                  <c:v>Li+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'0512-C104'!$G$28:$G$35</c:f>
              <c:numCache>
                <c:formatCode>0.0000000000_ </c:formatCode>
                <c:ptCount val="8"/>
                <c:pt idx="0">
                  <c:v>2.2646463045670646E-3</c:v>
                </c:pt>
                <c:pt idx="1">
                  <c:v>1.562587523411612E-2</c:v>
                </c:pt>
                <c:pt idx="2">
                  <c:v>3.1469185996254138E-2</c:v>
                </c:pt>
                <c:pt idx="3">
                  <c:v>4.6857356288719204E-2</c:v>
                </c:pt>
                <c:pt idx="4">
                  <c:v>5.362549776689237E-2</c:v>
                </c:pt>
                <c:pt idx="5">
                  <c:v>5.7402979397781301E-2</c:v>
                </c:pt>
                <c:pt idx="6">
                  <c:v>6.0846015703789086E-2</c:v>
                </c:pt>
                <c:pt idx="7">
                  <c:v>6.3328097536378039E-2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63-4660-AE80-16AD0C101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0622111"/>
        <c:axId val="1090624191"/>
      </c:lineChart>
      <c:cat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auto val="1"/>
        <c:lblAlgn val="ctr"/>
        <c:lblOffset val="100"/>
        <c:noMultiLvlLbl val="0"/>
      </c:cat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NH4+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'0528-C104 '!$B$4:$B$8</c:f>
              <c:numCache>
                <c:formatCode>General</c:formatCode>
                <c:ptCount val="5"/>
                <c:pt idx="0">
                  <c:v>1.8442000000000001</c:v>
                </c:pt>
                <c:pt idx="1">
                  <c:v>3.8277999999999999</c:v>
                </c:pt>
                <c:pt idx="2">
                  <c:v>9.3294999999999995</c:v>
                </c:pt>
                <c:pt idx="3">
                  <c:v>18.712199999999999</c:v>
                </c:pt>
                <c:pt idx="4">
                  <c:v>37.530299999999997</c:v>
                </c:pt>
              </c:numCache>
            </c:numRef>
          </c:xVal>
          <c:yVal>
            <c:numRef>
              <c:f>'0528-C104 '!$C$4:$C$8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'0326-C104'!#REF!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989-46F4-960C-B5305967245C}"/>
            </c:ext>
          </c:extLst>
        </c:ser>
        <c:ser>
          <c:idx val="0"/>
          <c:order val="1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9251691850633"/>
                  <c:y val="8.8770536006964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'0528-C104 '!$B$4:$B$8</c:f>
              <c:numCache>
                <c:formatCode>General</c:formatCode>
                <c:ptCount val="5"/>
                <c:pt idx="0">
                  <c:v>1.8442000000000001</c:v>
                </c:pt>
                <c:pt idx="1">
                  <c:v>3.8277999999999999</c:v>
                </c:pt>
                <c:pt idx="2">
                  <c:v>9.3294999999999995</c:v>
                </c:pt>
                <c:pt idx="3">
                  <c:v>18.712199999999999</c:v>
                </c:pt>
                <c:pt idx="4">
                  <c:v>37.530299999999997</c:v>
                </c:pt>
              </c:numCache>
            </c:numRef>
          </c:xVal>
          <c:yVal>
            <c:numRef>
              <c:f>'0528-C104 '!$C$4:$C$8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'0326-C104'!#REF!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D989-46F4-960C-B53059672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149023"/>
        <c:axId val="491154847"/>
      </c:scatterChart>
      <c:valAx>
        <c:axId val="4911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54847"/>
        <c:crosses val="autoZero"/>
        <c:crossBetween val="midCat"/>
      </c:valAx>
      <c:valAx>
        <c:axId val="4911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149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3690791776027998"/>
                  <c:y val="3.719889180519101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2000" baseline="0"/>
                      <a:t>y = 0.6395x</a:t>
                    </a:r>
                    <a:br>
                      <a:rPr lang="en-US" altLang="zh-CN" sz="2000" baseline="0"/>
                    </a:br>
                    <a:r>
                      <a:rPr lang="en-US" altLang="zh-CN" sz="2000" baseline="0"/>
                      <a:t>R² = 0.9837</a:t>
                    </a:r>
                    <a:endParaRPr lang="en-US" altLang="zh-CN" sz="20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zh-CN"/>
                </a:p>
              </c:txPr>
            </c:trendlineLbl>
          </c:trendline>
          <c:xVal>
            <c:numRef>
              <c:f>'0528-C104 '!$F$3:$F$8</c:f>
              <c:numCache>
                <c:formatCode>General</c:formatCode>
                <c:ptCount val="6"/>
                <c:pt idx="0">
                  <c:v>0</c:v>
                </c:pt>
                <c:pt idx="1">
                  <c:v>6.0933999999999999</c:v>
                </c:pt>
                <c:pt idx="2">
                  <c:v>11.4688</c:v>
                </c:pt>
                <c:pt idx="3">
                  <c:v>28.781400000000001</c:v>
                </c:pt>
                <c:pt idx="4">
                  <c:v>56.772100000000002</c:v>
                </c:pt>
                <c:pt idx="5">
                  <c:v>116.7535</c:v>
                </c:pt>
              </c:numCache>
            </c:numRef>
          </c:xVal>
          <c:yVal>
            <c:numRef>
              <c:f>'0528-C104 '!$G$3:$G$8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D0-482B-8AD2-08A986BD4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272800"/>
        <c:axId val="379273216"/>
      </c:scatterChart>
      <c:valAx>
        <c:axId val="37927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9273216"/>
        <c:crosses val="autoZero"/>
        <c:crossBetween val="midCat"/>
      </c:valAx>
      <c:valAx>
        <c:axId val="37927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927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'0528-C104 '!$A$29:$A$37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120</c:v>
                </c:pt>
              </c:numCache>
            </c:numRef>
          </c:cat>
          <c:val>
            <c:numRef>
              <c:f>'0528-C104 '!$G$15:$G$23</c:f>
              <c:numCache>
                <c:formatCode>0.0000000000_ </c:formatCode>
                <c:ptCount val="9"/>
                <c:pt idx="0">
                  <c:v>8.3532297833333324E-2</c:v>
                </c:pt>
                <c:pt idx="1">
                  <c:v>7.0209731666666664E-2</c:v>
                </c:pt>
                <c:pt idx="2">
                  <c:v>4.2765452166666662E-2</c:v>
                </c:pt>
                <c:pt idx="3">
                  <c:v>2.7785505000000005E-2</c:v>
                </c:pt>
                <c:pt idx="4">
                  <c:v>1.7299098833333332E-2</c:v>
                </c:pt>
                <c:pt idx="5">
                  <c:v>9.5292021666666653E-3</c:v>
                </c:pt>
                <c:pt idx="6">
                  <c:v>4.9883918333333338E-3</c:v>
                </c:pt>
                <c:pt idx="7">
                  <c:v>4.5349016666666664E-3</c:v>
                </c:pt>
                <c:pt idx="8">
                  <c:v>3.7491140555555558E-3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D5-417E-8CFC-730D9CEDFA12}"/>
            </c:ext>
          </c:extLst>
        </c:ser>
        <c:ser>
          <c:idx val="1"/>
          <c:order val="1"/>
          <c:tx>
            <c:strRef>
              <c:f>'0528-C104 '!$A$25</c:f>
              <c:strCache>
                <c:ptCount val="1"/>
                <c:pt idx="0">
                  <c:v>Li+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'0528-C104 '!$A$29:$A$37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120</c:v>
                </c:pt>
              </c:numCache>
            </c:numRef>
          </c:cat>
          <c:val>
            <c:numRef>
              <c:f>'0528-C104 '!$G$29:$G$37</c:f>
              <c:numCache>
                <c:formatCode>0.0000000000_ </c:formatCode>
                <c:ptCount val="9"/>
                <c:pt idx="0">
                  <c:v>2.2646463045670646E-3</c:v>
                </c:pt>
                <c:pt idx="1">
                  <c:v>1.562587523411612E-2</c:v>
                </c:pt>
                <c:pt idx="2">
                  <c:v>3.1469185996254138E-2</c:v>
                </c:pt>
                <c:pt idx="3">
                  <c:v>4.6857356288719204E-2</c:v>
                </c:pt>
                <c:pt idx="4">
                  <c:v>5.362549776689237E-2</c:v>
                </c:pt>
                <c:pt idx="5">
                  <c:v>5.7402979397781301E-2</c:v>
                </c:pt>
                <c:pt idx="6">
                  <c:v>6.0846015703789086E-2</c:v>
                </c:pt>
                <c:pt idx="7">
                  <c:v>6.3328097536378039E-2</c:v>
                </c:pt>
                <c:pt idx="8">
                  <c:v>6.7037400230514341E-2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D5-417E-8CFC-730D9CEDF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0622111"/>
        <c:axId val="1090624191"/>
      </c:lineChart>
      <c:catAx>
        <c:axId val="10906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4191"/>
        <c:crosses val="autoZero"/>
        <c:auto val="1"/>
        <c:lblAlgn val="ctr"/>
        <c:lblOffset val="100"/>
        <c:noMultiLvlLbl val="0"/>
      </c:catAx>
      <c:valAx>
        <c:axId val="109062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62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4" Type="http://schemas.openxmlformats.org/officeDocument/2006/relationships/chart" Target="../charts/chart3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4" Type="http://schemas.openxmlformats.org/officeDocument/2006/relationships/chart" Target="../charts/chart39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4" Type="http://schemas.openxmlformats.org/officeDocument/2006/relationships/chart" Target="../charts/chart46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4" Type="http://schemas.openxmlformats.org/officeDocument/2006/relationships/chart" Target="../charts/chart53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.xml"/><Relationship Id="rId2" Type="http://schemas.openxmlformats.org/officeDocument/2006/relationships/chart" Target="../charts/chart55.xml"/><Relationship Id="rId1" Type="http://schemas.openxmlformats.org/officeDocument/2006/relationships/chart" Target="../charts/chart54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2.xml"/><Relationship Id="rId2" Type="http://schemas.openxmlformats.org/officeDocument/2006/relationships/chart" Target="../charts/chart61.xml"/><Relationship Id="rId1" Type="http://schemas.openxmlformats.org/officeDocument/2006/relationships/chart" Target="../charts/chart60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5.xml"/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268286</xdr:colOff>
      <xdr:row>5</xdr:row>
      <xdr:rowOff>66675</xdr:rowOff>
    </xdr:from>
    <xdr:to>
      <xdr:col>14</xdr:col>
      <xdr:colOff>273050</xdr:colOff>
      <xdr:row>19</xdr:row>
      <xdr:rowOff>38101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A0E82D6-0F99-4E05-B18B-4E0B0D4A0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15</xdr:col>
      <xdr:colOff>4764</xdr:colOff>
      <xdr:row>36</xdr:row>
      <xdr:rowOff>149226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8D2F7D6-EBD0-4636-B5BB-1754F2610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381000</xdr:colOff>
      <xdr:row>11</xdr:row>
      <xdr:rowOff>15875</xdr:rowOff>
    </xdr:from>
    <xdr:to>
      <xdr:col>28</xdr:col>
      <xdr:colOff>342900</xdr:colOff>
      <xdr:row>26</xdr:row>
      <xdr:rowOff>92075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6CC0C86-E351-AF01-94FA-6E1177754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268286</xdr:colOff>
      <xdr:row>5</xdr:row>
      <xdr:rowOff>66675</xdr:rowOff>
    </xdr:from>
    <xdr:to>
      <xdr:col>16</xdr:col>
      <xdr:colOff>273050</xdr:colOff>
      <xdr:row>19</xdr:row>
      <xdr:rowOff>38101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8CDDCB0-9009-467A-BA2B-D53D013E3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25400</xdr:colOff>
      <xdr:row>21</xdr:row>
      <xdr:rowOff>95250</xdr:rowOff>
    </xdr:from>
    <xdr:to>
      <xdr:col>25</xdr:col>
      <xdr:colOff>500064</xdr:colOff>
      <xdr:row>35</xdr:row>
      <xdr:rowOff>66676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4632017-8D06-4270-BC5B-27A9C7202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431800</xdr:colOff>
      <xdr:row>22</xdr:row>
      <xdr:rowOff>3174</xdr:rowOff>
    </xdr:from>
    <xdr:to>
      <xdr:col>16</xdr:col>
      <xdr:colOff>311150</xdr:colOff>
      <xdr:row>40</xdr:row>
      <xdr:rowOff>171449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0D65165-A511-478E-A84C-596271D70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268286</xdr:colOff>
      <xdr:row>3</xdr:row>
      <xdr:rowOff>66675</xdr:rowOff>
    </xdr:from>
    <xdr:to>
      <xdr:col>16</xdr:col>
      <xdr:colOff>273050</xdr:colOff>
      <xdr:row>17</xdr:row>
      <xdr:rowOff>38101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ECC7616-499F-4DFF-9F1D-31A7E635F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292100</xdr:colOff>
      <xdr:row>19</xdr:row>
      <xdr:rowOff>114300</xdr:rowOff>
    </xdr:from>
    <xdr:to>
      <xdr:col>16</xdr:col>
      <xdr:colOff>303214</xdr:colOff>
      <xdr:row>33</xdr:row>
      <xdr:rowOff>85726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2389CAC-F2C0-4F08-AA54-8B1239849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457200</xdr:colOff>
      <xdr:row>36</xdr:row>
      <xdr:rowOff>85724</xdr:rowOff>
    </xdr:from>
    <xdr:to>
      <xdr:col>18</xdr:col>
      <xdr:colOff>463550</xdr:colOff>
      <xdr:row>58</xdr:row>
      <xdr:rowOff>25399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59C53D3-EAE6-4961-9468-A5DC90D53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268286</xdr:colOff>
      <xdr:row>3</xdr:row>
      <xdr:rowOff>66675</xdr:rowOff>
    </xdr:from>
    <xdr:to>
      <xdr:col>16</xdr:col>
      <xdr:colOff>273050</xdr:colOff>
      <xdr:row>17</xdr:row>
      <xdr:rowOff>38101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55569E7-9291-4B7B-80EA-422044A2F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298450</xdr:colOff>
      <xdr:row>19</xdr:row>
      <xdr:rowOff>139700</xdr:rowOff>
    </xdr:from>
    <xdr:to>
      <xdr:col>16</xdr:col>
      <xdr:colOff>309564</xdr:colOff>
      <xdr:row>33</xdr:row>
      <xdr:rowOff>111126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45E3CB6-A04B-412A-BF25-F1D6175B5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457200</xdr:colOff>
      <xdr:row>36</xdr:row>
      <xdr:rowOff>85724</xdr:rowOff>
    </xdr:from>
    <xdr:to>
      <xdr:col>18</xdr:col>
      <xdr:colOff>463550</xdr:colOff>
      <xdr:row>58</xdr:row>
      <xdr:rowOff>25399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729E6D9-F239-4E08-83CF-7E1CBA98A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268286</xdr:colOff>
      <xdr:row>3</xdr:row>
      <xdr:rowOff>66675</xdr:rowOff>
    </xdr:from>
    <xdr:to>
      <xdr:col>16</xdr:col>
      <xdr:colOff>273050</xdr:colOff>
      <xdr:row>17</xdr:row>
      <xdr:rowOff>38101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DD57034-B193-4E74-B5DD-A60137B27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292100</xdr:colOff>
      <xdr:row>19</xdr:row>
      <xdr:rowOff>114300</xdr:rowOff>
    </xdr:from>
    <xdr:to>
      <xdr:col>16</xdr:col>
      <xdr:colOff>303214</xdr:colOff>
      <xdr:row>33</xdr:row>
      <xdr:rowOff>85726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F6479B0-F299-411A-A4D1-FE37D4B2C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457200</xdr:colOff>
      <xdr:row>36</xdr:row>
      <xdr:rowOff>85724</xdr:rowOff>
    </xdr:from>
    <xdr:to>
      <xdr:col>18</xdr:col>
      <xdr:colOff>463550</xdr:colOff>
      <xdr:row>58</xdr:row>
      <xdr:rowOff>25399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80C5AFE-4A68-4F4F-968E-63DFF8026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268286</xdr:colOff>
      <xdr:row>3</xdr:row>
      <xdr:rowOff>66675</xdr:rowOff>
    </xdr:from>
    <xdr:to>
      <xdr:col>16</xdr:col>
      <xdr:colOff>273050</xdr:colOff>
      <xdr:row>17</xdr:row>
      <xdr:rowOff>38101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E0A652-D94B-4C25-9C6B-4604ADE964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298450</xdr:colOff>
      <xdr:row>19</xdr:row>
      <xdr:rowOff>139700</xdr:rowOff>
    </xdr:from>
    <xdr:to>
      <xdr:col>16</xdr:col>
      <xdr:colOff>309564</xdr:colOff>
      <xdr:row>33</xdr:row>
      <xdr:rowOff>111126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91F4B48-0A57-49FA-B7F0-3EBDF7762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457200</xdr:colOff>
      <xdr:row>36</xdr:row>
      <xdr:rowOff>85724</xdr:rowOff>
    </xdr:from>
    <xdr:to>
      <xdr:col>18</xdr:col>
      <xdr:colOff>463550</xdr:colOff>
      <xdr:row>58</xdr:row>
      <xdr:rowOff>25399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6BD0BBE-9B54-404A-B2B2-6C9EC5180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268286</xdr:colOff>
      <xdr:row>3</xdr:row>
      <xdr:rowOff>66675</xdr:rowOff>
    </xdr:from>
    <xdr:to>
      <xdr:col>16</xdr:col>
      <xdr:colOff>273050</xdr:colOff>
      <xdr:row>17</xdr:row>
      <xdr:rowOff>38101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F02B120-004D-4E64-B554-6076A8529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298450</xdr:colOff>
      <xdr:row>19</xdr:row>
      <xdr:rowOff>139700</xdr:rowOff>
    </xdr:from>
    <xdr:to>
      <xdr:col>16</xdr:col>
      <xdr:colOff>309564</xdr:colOff>
      <xdr:row>33</xdr:row>
      <xdr:rowOff>111126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174A194-BA22-46F8-B1FE-3016ADCF1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457200</xdr:colOff>
      <xdr:row>36</xdr:row>
      <xdr:rowOff>85724</xdr:rowOff>
    </xdr:from>
    <xdr:to>
      <xdr:col>18</xdr:col>
      <xdr:colOff>463550</xdr:colOff>
      <xdr:row>58</xdr:row>
      <xdr:rowOff>25399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BEACCD5-5E93-4089-9CDB-5F85FC047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268286</xdr:colOff>
      <xdr:row>3</xdr:row>
      <xdr:rowOff>66675</xdr:rowOff>
    </xdr:from>
    <xdr:to>
      <xdr:col>16</xdr:col>
      <xdr:colOff>273050</xdr:colOff>
      <xdr:row>17</xdr:row>
      <xdr:rowOff>38101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00E6222-4A0B-4883-A51D-E18D1D705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298450</xdr:colOff>
      <xdr:row>19</xdr:row>
      <xdr:rowOff>139700</xdr:rowOff>
    </xdr:from>
    <xdr:to>
      <xdr:col>16</xdr:col>
      <xdr:colOff>309564</xdr:colOff>
      <xdr:row>33</xdr:row>
      <xdr:rowOff>111126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9AA73C-8359-4648-9834-7C0225DF1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457200</xdr:colOff>
      <xdr:row>36</xdr:row>
      <xdr:rowOff>85724</xdr:rowOff>
    </xdr:from>
    <xdr:to>
      <xdr:col>18</xdr:col>
      <xdr:colOff>463550</xdr:colOff>
      <xdr:row>58</xdr:row>
      <xdr:rowOff>25399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AABA3BA-34B5-498C-ADBB-C138A9B31B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635000</xdr:colOff>
      <xdr:row>64</xdr:row>
      <xdr:rowOff>12700</xdr:rowOff>
    </xdr:from>
    <xdr:to>
      <xdr:col>18</xdr:col>
      <xdr:colOff>653538</xdr:colOff>
      <xdr:row>85</xdr:row>
      <xdr:rowOff>144099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7EBBA68-C41C-E9C9-8C82-EEEF0B404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44150" y="11391900"/>
          <a:ext cx="5816088" cy="38651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268286</xdr:colOff>
      <xdr:row>3</xdr:row>
      <xdr:rowOff>66675</xdr:rowOff>
    </xdr:from>
    <xdr:to>
      <xdr:col>16</xdr:col>
      <xdr:colOff>273050</xdr:colOff>
      <xdr:row>17</xdr:row>
      <xdr:rowOff>38101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C6A4B38-8FA2-49CC-B1B5-ED30636F2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298450</xdr:colOff>
      <xdr:row>19</xdr:row>
      <xdr:rowOff>139700</xdr:rowOff>
    </xdr:from>
    <xdr:to>
      <xdr:col>16</xdr:col>
      <xdr:colOff>309564</xdr:colOff>
      <xdr:row>33</xdr:row>
      <xdr:rowOff>111126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A4B9C3B-8245-4372-91D8-C0D768892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457200</xdr:colOff>
      <xdr:row>36</xdr:row>
      <xdr:rowOff>85724</xdr:rowOff>
    </xdr:from>
    <xdr:to>
      <xdr:col>18</xdr:col>
      <xdr:colOff>463550</xdr:colOff>
      <xdr:row>58</xdr:row>
      <xdr:rowOff>25399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7A00665-7215-4EFB-B75D-BC1BEAE38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268286</xdr:colOff>
      <xdr:row>3</xdr:row>
      <xdr:rowOff>66675</xdr:rowOff>
    </xdr:from>
    <xdr:to>
      <xdr:col>16</xdr:col>
      <xdr:colOff>273050</xdr:colOff>
      <xdr:row>17</xdr:row>
      <xdr:rowOff>38101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3DDCE80-317B-4AB7-B90F-E9F6B1721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298450</xdr:colOff>
      <xdr:row>19</xdr:row>
      <xdr:rowOff>139700</xdr:rowOff>
    </xdr:from>
    <xdr:to>
      <xdr:col>16</xdr:col>
      <xdr:colOff>309564</xdr:colOff>
      <xdr:row>33</xdr:row>
      <xdr:rowOff>111126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1015DCB-36BE-458B-860B-0A8E1F5C4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457200</xdr:colOff>
      <xdr:row>36</xdr:row>
      <xdr:rowOff>85724</xdr:rowOff>
    </xdr:from>
    <xdr:to>
      <xdr:col>18</xdr:col>
      <xdr:colOff>463550</xdr:colOff>
      <xdr:row>58</xdr:row>
      <xdr:rowOff>25399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D99FAFC-0918-417A-A15E-9757F4834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501650</xdr:colOff>
      <xdr:row>65</xdr:row>
      <xdr:rowOff>38100</xdr:rowOff>
    </xdr:from>
    <xdr:to>
      <xdr:col>18</xdr:col>
      <xdr:colOff>508000</xdr:colOff>
      <xdr:row>86</xdr:row>
      <xdr:rowOff>155575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84E6E818-1D3A-4C3D-A408-50A5B520D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17</xdr:col>
      <xdr:colOff>11114</xdr:colOff>
      <xdr:row>17</xdr:row>
      <xdr:rowOff>149226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7984D12-C4B0-4A10-AFD3-2237599F8B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268286</xdr:colOff>
      <xdr:row>3</xdr:row>
      <xdr:rowOff>66675</xdr:rowOff>
    </xdr:from>
    <xdr:to>
      <xdr:col>16</xdr:col>
      <xdr:colOff>273050</xdr:colOff>
      <xdr:row>17</xdr:row>
      <xdr:rowOff>38101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280E548-9B18-4E2C-A6F8-A010A7A48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298450</xdr:colOff>
      <xdr:row>19</xdr:row>
      <xdr:rowOff>139700</xdr:rowOff>
    </xdr:from>
    <xdr:to>
      <xdr:col>16</xdr:col>
      <xdr:colOff>309564</xdr:colOff>
      <xdr:row>33</xdr:row>
      <xdr:rowOff>111126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9BE350D-98EE-4E64-B612-C6AEF198C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457200</xdr:colOff>
      <xdr:row>36</xdr:row>
      <xdr:rowOff>85724</xdr:rowOff>
    </xdr:from>
    <xdr:to>
      <xdr:col>18</xdr:col>
      <xdr:colOff>463550</xdr:colOff>
      <xdr:row>58</xdr:row>
      <xdr:rowOff>25399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A4CEE5A-614D-4488-8228-55DA124A7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268286</xdr:colOff>
      <xdr:row>3</xdr:row>
      <xdr:rowOff>66675</xdr:rowOff>
    </xdr:from>
    <xdr:to>
      <xdr:col>16</xdr:col>
      <xdr:colOff>273050</xdr:colOff>
      <xdr:row>17</xdr:row>
      <xdr:rowOff>38101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CB2C44B-98E0-4240-9716-57799E236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298450</xdr:colOff>
      <xdr:row>19</xdr:row>
      <xdr:rowOff>139700</xdr:rowOff>
    </xdr:from>
    <xdr:to>
      <xdr:col>16</xdr:col>
      <xdr:colOff>309564</xdr:colOff>
      <xdr:row>33</xdr:row>
      <xdr:rowOff>111126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4D24343-8D59-46EC-B28E-E6AA97EF4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457200</xdr:colOff>
      <xdr:row>36</xdr:row>
      <xdr:rowOff>85724</xdr:rowOff>
    </xdr:from>
    <xdr:to>
      <xdr:col>18</xdr:col>
      <xdr:colOff>463550</xdr:colOff>
      <xdr:row>58</xdr:row>
      <xdr:rowOff>25399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CA8447B-451A-4204-9312-B4F92C87B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514350</xdr:colOff>
      <xdr:row>65</xdr:row>
      <xdr:rowOff>31750</xdr:rowOff>
    </xdr:from>
    <xdr:to>
      <xdr:col>18</xdr:col>
      <xdr:colOff>520700</xdr:colOff>
      <xdr:row>86</xdr:row>
      <xdr:rowOff>149225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24DC3949-354F-4B2D-B6FB-A22E5CE3D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268286</xdr:colOff>
      <xdr:row>3</xdr:row>
      <xdr:rowOff>66675</xdr:rowOff>
    </xdr:from>
    <xdr:to>
      <xdr:col>16</xdr:col>
      <xdr:colOff>273050</xdr:colOff>
      <xdr:row>17</xdr:row>
      <xdr:rowOff>38101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D21A6A7-AB69-4542-A0AB-BC201F451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298450</xdr:colOff>
      <xdr:row>19</xdr:row>
      <xdr:rowOff>139700</xdr:rowOff>
    </xdr:from>
    <xdr:to>
      <xdr:col>16</xdr:col>
      <xdr:colOff>309564</xdr:colOff>
      <xdr:row>33</xdr:row>
      <xdr:rowOff>111126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3A39388-2C07-4934-A824-8936F6A4E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457200</xdr:colOff>
      <xdr:row>36</xdr:row>
      <xdr:rowOff>85724</xdr:rowOff>
    </xdr:from>
    <xdr:to>
      <xdr:col>18</xdr:col>
      <xdr:colOff>463550</xdr:colOff>
      <xdr:row>58</xdr:row>
      <xdr:rowOff>25399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81324D1-0F8D-468E-96E3-2362ABB75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268286</xdr:colOff>
      <xdr:row>3</xdr:row>
      <xdr:rowOff>66675</xdr:rowOff>
    </xdr:from>
    <xdr:to>
      <xdr:col>16</xdr:col>
      <xdr:colOff>273050</xdr:colOff>
      <xdr:row>17</xdr:row>
      <xdr:rowOff>38101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2667057-67CD-45FD-852E-C124674B7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298450</xdr:colOff>
      <xdr:row>19</xdr:row>
      <xdr:rowOff>139700</xdr:rowOff>
    </xdr:from>
    <xdr:to>
      <xdr:col>16</xdr:col>
      <xdr:colOff>309564</xdr:colOff>
      <xdr:row>33</xdr:row>
      <xdr:rowOff>111126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32C59EE-CEFA-4BCF-8245-70C7D62B2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457200</xdr:colOff>
      <xdr:row>36</xdr:row>
      <xdr:rowOff>85724</xdr:rowOff>
    </xdr:from>
    <xdr:to>
      <xdr:col>18</xdr:col>
      <xdr:colOff>463550</xdr:colOff>
      <xdr:row>58</xdr:row>
      <xdr:rowOff>25399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F1A98EA-C575-4035-9B92-39DD530FA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501650</xdr:colOff>
      <xdr:row>62</xdr:row>
      <xdr:rowOff>69850</xdr:rowOff>
    </xdr:from>
    <xdr:to>
      <xdr:col>18</xdr:col>
      <xdr:colOff>508000</xdr:colOff>
      <xdr:row>84</xdr:row>
      <xdr:rowOff>9525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46E1B95-B2B6-4E9A-8CB3-CEBCF3940B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268286</xdr:colOff>
      <xdr:row>3</xdr:row>
      <xdr:rowOff>66675</xdr:rowOff>
    </xdr:from>
    <xdr:to>
      <xdr:col>16</xdr:col>
      <xdr:colOff>273050</xdr:colOff>
      <xdr:row>17</xdr:row>
      <xdr:rowOff>38101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4D92F7D-5DB7-445A-B936-707E64502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298450</xdr:colOff>
      <xdr:row>19</xdr:row>
      <xdr:rowOff>139700</xdr:rowOff>
    </xdr:from>
    <xdr:to>
      <xdr:col>16</xdr:col>
      <xdr:colOff>309564</xdr:colOff>
      <xdr:row>33</xdr:row>
      <xdr:rowOff>111126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61483F0-E979-4546-8707-009B4FC86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457200</xdr:colOff>
      <xdr:row>36</xdr:row>
      <xdr:rowOff>85724</xdr:rowOff>
    </xdr:from>
    <xdr:to>
      <xdr:col>18</xdr:col>
      <xdr:colOff>463550</xdr:colOff>
      <xdr:row>58</xdr:row>
      <xdr:rowOff>25399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383764D-DEEA-4D4B-AB81-969C172E1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268286</xdr:colOff>
      <xdr:row>3</xdr:row>
      <xdr:rowOff>66675</xdr:rowOff>
    </xdr:from>
    <xdr:to>
      <xdr:col>16</xdr:col>
      <xdr:colOff>273050</xdr:colOff>
      <xdr:row>17</xdr:row>
      <xdr:rowOff>38101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40C926F-4490-476E-A4CF-5194869CE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298450</xdr:colOff>
      <xdr:row>19</xdr:row>
      <xdr:rowOff>139700</xdr:rowOff>
    </xdr:from>
    <xdr:to>
      <xdr:col>16</xdr:col>
      <xdr:colOff>309564</xdr:colOff>
      <xdr:row>33</xdr:row>
      <xdr:rowOff>111126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1020F32-54D7-4236-8899-C7586F3D3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457200</xdr:colOff>
      <xdr:row>36</xdr:row>
      <xdr:rowOff>85724</xdr:rowOff>
    </xdr:from>
    <xdr:to>
      <xdr:col>18</xdr:col>
      <xdr:colOff>463550</xdr:colOff>
      <xdr:row>58</xdr:row>
      <xdr:rowOff>25399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4A7D3E1-7A98-4965-8B11-000FFFE6F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412750</xdr:colOff>
      <xdr:row>63</xdr:row>
      <xdr:rowOff>38100</xdr:rowOff>
    </xdr:from>
    <xdr:to>
      <xdr:col>18</xdr:col>
      <xdr:colOff>419100</xdr:colOff>
      <xdr:row>84</xdr:row>
      <xdr:rowOff>155575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E0FE295E-6EDE-4F6E-9BE2-C4600D491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268286</xdr:colOff>
      <xdr:row>3</xdr:row>
      <xdr:rowOff>66675</xdr:rowOff>
    </xdr:from>
    <xdr:to>
      <xdr:col>16</xdr:col>
      <xdr:colOff>273050</xdr:colOff>
      <xdr:row>17</xdr:row>
      <xdr:rowOff>38101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887261D-A16C-464A-95A7-044FC749D5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298450</xdr:colOff>
      <xdr:row>19</xdr:row>
      <xdr:rowOff>139700</xdr:rowOff>
    </xdr:from>
    <xdr:to>
      <xdr:col>16</xdr:col>
      <xdr:colOff>309564</xdr:colOff>
      <xdr:row>33</xdr:row>
      <xdr:rowOff>111126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00ED296-D1C1-440A-9EFD-2AFFB8919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457200</xdr:colOff>
      <xdr:row>36</xdr:row>
      <xdr:rowOff>85724</xdr:rowOff>
    </xdr:from>
    <xdr:to>
      <xdr:col>18</xdr:col>
      <xdr:colOff>463550</xdr:colOff>
      <xdr:row>58</xdr:row>
      <xdr:rowOff>25399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86C4221-02D4-4648-BDAC-99070C059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268286</xdr:colOff>
      <xdr:row>3</xdr:row>
      <xdr:rowOff>66675</xdr:rowOff>
    </xdr:from>
    <xdr:to>
      <xdr:col>16</xdr:col>
      <xdr:colOff>273050</xdr:colOff>
      <xdr:row>17</xdr:row>
      <xdr:rowOff>38101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E60CC6E-459C-42CC-91A0-5189C1A4D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298450</xdr:colOff>
      <xdr:row>19</xdr:row>
      <xdr:rowOff>139700</xdr:rowOff>
    </xdr:from>
    <xdr:to>
      <xdr:col>16</xdr:col>
      <xdr:colOff>309564</xdr:colOff>
      <xdr:row>33</xdr:row>
      <xdr:rowOff>111126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427D2ED-F495-4E8F-9FAD-BDCF77439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457200</xdr:colOff>
      <xdr:row>36</xdr:row>
      <xdr:rowOff>85724</xdr:rowOff>
    </xdr:from>
    <xdr:to>
      <xdr:col>18</xdr:col>
      <xdr:colOff>463550</xdr:colOff>
      <xdr:row>58</xdr:row>
      <xdr:rowOff>25399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3C5700F-DD3A-4B29-AA52-F629F351E2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17</xdr:col>
      <xdr:colOff>11114</xdr:colOff>
      <xdr:row>17</xdr:row>
      <xdr:rowOff>149226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30026C6-BAAC-45CC-BA03-7AE0CD5B2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28575</xdr:rowOff>
    </xdr:from>
    <xdr:to>
      <xdr:col>17</xdr:col>
      <xdr:colOff>95250</xdr:colOff>
      <xdr:row>35</xdr:row>
      <xdr:rowOff>104775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E540669-1A4A-5F07-0926-6C6BC3569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158750</xdr:rowOff>
    </xdr:from>
    <xdr:to>
      <xdr:col>5</xdr:col>
      <xdr:colOff>1181100</xdr:colOff>
      <xdr:row>57</xdr:row>
      <xdr:rowOff>98425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1761023F-0248-4CF0-B149-3CD3E5CE99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17</xdr:col>
      <xdr:colOff>11114</xdr:colOff>
      <xdr:row>17</xdr:row>
      <xdr:rowOff>149226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EF1BFDD-8531-42B4-B476-4218596C1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28575</xdr:rowOff>
    </xdr:from>
    <xdr:to>
      <xdr:col>17</xdr:col>
      <xdr:colOff>95250</xdr:colOff>
      <xdr:row>36</xdr:row>
      <xdr:rowOff>104775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93BCB3A-4821-4510-968C-8626183E1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44</xdr:row>
      <xdr:rowOff>146050</xdr:rowOff>
    </xdr:from>
    <xdr:to>
      <xdr:col>8</xdr:col>
      <xdr:colOff>571500</xdr:colOff>
      <xdr:row>66</xdr:row>
      <xdr:rowOff>85725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B30F5F5-C3B7-4CFD-BF47-6892481C5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opLeftCell="A7" workbookViewId="0">
      <selection activeCell="F21" sqref="F21"/>
    </sheetView>
  </sheetViews>
  <sheetFormatPr defaultRowHeight="14.5"/>
  <cols>
    <col min="4" max="4" width="17.36328125" style="6" customWidth="1"/>
    <col min="5" max="5" width="14.6328125" customWidth="1"/>
    <col min="6" max="6" width="9.81640625" customWidth="1"/>
    <col min="7" max="7" width="17.453125" customWidth="1"/>
    <col min="10" max="10" width="15.453125" customWidth="1"/>
  </cols>
  <sheetData>
    <row r="1" spans="1:8">
      <c r="A1" s="2" t="s">
        <v>8</v>
      </c>
    </row>
    <row r="2" spans="1:8">
      <c r="A2" s="2"/>
    </row>
    <row r="3" spans="1:8">
      <c r="A3" t="s">
        <v>5</v>
      </c>
      <c r="B3" t="s">
        <v>0</v>
      </c>
      <c r="C3" t="s">
        <v>1</v>
      </c>
      <c r="E3" t="s">
        <v>4</v>
      </c>
      <c r="F3" t="s">
        <v>0</v>
      </c>
      <c r="G3" t="s">
        <v>1</v>
      </c>
    </row>
    <row r="4" spans="1:8">
      <c r="B4" s="4">
        <v>0</v>
      </c>
      <c r="C4">
        <v>0</v>
      </c>
      <c r="F4" s="4">
        <v>0</v>
      </c>
      <c r="G4">
        <v>0</v>
      </c>
    </row>
    <row r="5" spans="1:8">
      <c r="B5" s="3">
        <v>0.24769219999999997</v>
      </c>
      <c r="C5">
        <v>1</v>
      </c>
      <c r="F5" s="3">
        <v>0.33158799999999999</v>
      </c>
      <c r="G5">
        <v>1</v>
      </c>
    </row>
    <row r="6" spans="1:8">
      <c r="B6" s="3">
        <v>1.1740372000000001</v>
      </c>
      <c r="C6">
        <v>5</v>
      </c>
      <c r="F6" s="3">
        <v>1.7183219999999999</v>
      </c>
      <c r="G6">
        <v>5</v>
      </c>
    </row>
    <row r="7" spans="1:8">
      <c r="B7" s="3">
        <v>2.4139132000000001</v>
      </c>
      <c r="C7">
        <v>10</v>
      </c>
      <c r="F7" s="3">
        <v>3.6751610000000001</v>
      </c>
      <c r="G7">
        <v>10</v>
      </c>
    </row>
    <row r="8" spans="1:8">
      <c r="B8" s="3">
        <v>5.1133242000000001</v>
      </c>
      <c r="C8">
        <v>20</v>
      </c>
      <c r="F8" s="3">
        <v>7.801539</v>
      </c>
      <c r="G8">
        <v>20</v>
      </c>
    </row>
    <row r="9" spans="1:8">
      <c r="B9" s="3">
        <v>29.071510199999999</v>
      </c>
      <c r="C9">
        <v>100</v>
      </c>
      <c r="F9" s="3">
        <v>41.845421999999999</v>
      </c>
      <c r="G9">
        <v>100</v>
      </c>
    </row>
    <row r="14" spans="1:8">
      <c r="C14" t="s">
        <v>5</v>
      </c>
      <c r="D14"/>
      <c r="E14" s="6"/>
    </row>
    <row r="15" spans="1:8">
      <c r="A15" t="s">
        <v>10</v>
      </c>
      <c r="B15" t="s">
        <v>2</v>
      </c>
      <c r="C15" t="s">
        <v>0</v>
      </c>
      <c r="D15" t="s">
        <v>3</v>
      </c>
      <c r="E15" s="6" t="s">
        <v>6</v>
      </c>
      <c r="H15" s="2"/>
    </row>
    <row r="16" spans="1:8">
      <c r="A16">
        <v>0</v>
      </c>
      <c r="B16" s="5">
        <v>0</v>
      </c>
      <c r="C16">
        <v>13.282951199999999</v>
      </c>
      <c r="D16">
        <f>3.4784*C16</f>
        <v>46.203417454079997</v>
      </c>
      <c r="E16" s="6">
        <f>D16*2/96/1000</f>
        <v>9.6257119695999992E-4</v>
      </c>
    </row>
    <row r="17" spans="1:7">
      <c r="A17">
        <v>2.5</v>
      </c>
      <c r="B17" s="5">
        <v>1</v>
      </c>
      <c r="C17" s="1">
        <v>2.4994199999999994E-2</v>
      </c>
      <c r="D17">
        <f t="shared" ref="D17:D26" si="0">3.4784*C17</f>
        <v>8.693982527999998E-2</v>
      </c>
      <c r="E17" s="6">
        <f t="shared" ref="E17:E26" si="1">D17*2/96/1000</f>
        <v>1.8112463599999995E-6</v>
      </c>
    </row>
    <row r="18" spans="1:7">
      <c r="A18">
        <v>5</v>
      </c>
      <c r="B18" s="5">
        <v>2</v>
      </c>
      <c r="C18">
        <v>2.6819999999999622E-4</v>
      </c>
      <c r="D18">
        <f t="shared" si="0"/>
        <v>9.3290687999998689E-4</v>
      </c>
      <c r="E18" s="6">
        <f t="shared" si="1"/>
        <v>1.9435559999999727E-8</v>
      </c>
    </row>
    <row r="19" spans="1:7">
      <c r="A19">
        <v>7.5</v>
      </c>
      <c r="B19" s="5">
        <v>3</v>
      </c>
      <c r="C19">
        <v>-1.1367999999999934E-3</v>
      </c>
      <c r="D19">
        <f t="shared" si="0"/>
        <v>-3.9542451199999773E-3</v>
      </c>
      <c r="E19" s="6">
        <f t="shared" si="1"/>
        <v>-8.2380106666666189E-8</v>
      </c>
    </row>
    <row r="20" spans="1:7">
      <c r="A20">
        <v>10</v>
      </c>
      <c r="B20" s="5">
        <v>4</v>
      </c>
      <c r="C20" s="1">
        <v>2.3692000000000019E-3</v>
      </c>
      <c r="D20">
        <f t="shared" si="0"/>
        <v>8.2410252800000066E-3</v>
      </c>
      <c r="E20" s="6">
        <f t="shared" si="1"/>
        <v>1.7168802666666682E-7</v>
      </c>
    </row>
    <row r="21" spans="1:7">
      <c r="A21">
        <v>12.5</v>
      </c>
      <c r="B21" s="5">
        <v>5</v>
      </c>
      <c r="C21">
        <v>2.3812E-3</v>
      </c>
      <c r="D21">
        <f t="shared" si="0"/>
        <v>8.2827660800000001E-3</v>
      </c>
      <c r="E21" s="6">
        <f t="shared" si="1"/>
        <v>1.7255762666666665E-7</v>
      </c>
    </row>
    <row r="22" spans="1:7">
      <c r="A22">
        <v>15</v>
      </c>
      <c r="B22" s="5">
        <v>6</v>
      </c>
      <c r="C22">
        <v>-4.558000000000062E-4</v>
      </c>
      <c r="D22">
        <f t="shared" si="0"/>
        <v>-1.5854547200000217E-3</v>
      </c>
      <c r="E22" s="6">
        <f t="shared" si="1"/>
        <v>-3.3030306666667118E-8</v>
      </c>
    </row>
    <row r="23" spans="1:7">
      <c r="A23">
        <v>17.5</v>
      </c>
      <c r="B23" s="5">
        <v>7</v>
      </c>
      <c r="C23">
        <v>4.512199999999994E-3</v>
      </c>
      <c r="D23">
        <f t="shared" si="0"/>
        <v>1.5695236479999979E-2</v>
      </c>
      <c r="E23" s="6">
        <f t="shared" si="1"/>
        <v>3.2698409333333288E-7</v>
      </c>
    </row>
    <row r="24" spans="1:7">
      <c r="A24">
        <v>20</v>
      </c>
      <c r="B24" s="5">
        <v>8</v>
      </c>
      <c r="C24">
        <v>-6.3228000000000034E-3</v>
      </c>
      <c r="D24">
        <f t="shared" si="0"/>
        <v>-2.1993227520000012E-2</v>
      </c>
      <c r="E24" s="6">
        <f t="shared" si="1"/>
        <v>-4.5819224000000024E-7</v>
      </c>
    </row>
    <row r="25" spans="1:7">
      <c r="A25">
        <v>22.5</v>
      </c>
      <c r="B25" s="5">
        <v>9</v>
      </c>
      <c r="C25">
        <v>-3.243800000000005E-3</v>
      </c>
      <c r="D25">
        <f t="shared" si="0"/>
        <v>-1.1283233920000017E-2</v>
      </c>
      <c r="E25" s="6">
        <f t="shared" si="1"/>
        <v>-2.350673733333337E-7</v>
      </c>
    </row>
    <row r="26" spans="1:7">
      <c r="A26">
        <v>25</v>
      </c>
      <c r="B26" s="5">
        <v>10</v>
      </c>
      <c r="C26">
        <v>-3.4788000000000041E-3</v>
      </c>
      <c r="D26">
        <f t="shared" si="0"/>
        <v>-1.2100657920000014E-2</v>
      </c>
      <c r="E26" s="6">
        <f t="shared" si="1"/>
        <v>-2.5209704000000026E-7</v>
      </c>
    </row>
    <row r="28" spans="1:7">
      <c r="E28" s="2"/>
      <c r="F28" s="2"/>
      <c r="G28" s="2"/>
    </row>
    <row r="29" spans="1:7">
      <c r="C29" t="s">
        <v>4</v>
      </c>
      <c r="D29"/>
      <c r="E29" s="6"/>
      <c r="F29" s="2"/>
      <c r="G29" s="2"/>
    </row>
    <row r="30" spans="1:7">
      <c r="A30" t="s">
        <v>10</v>
      </c>
      <c r="B30" t="s">
        <v>2</v>
      </c>
      <c r="C30" t="s">
        <v>0</v>
      </c>
      <c r="D30" t="s">
        <v>3</v>
      </c>
      <c r="E30" s="6" t="s">
        <v>6</v>
      </c>
    </row>
    <row r="31" spans="1:7">
      <c r="A31">
        <v>0</v>
      </c>
      <c r="B31" s="5">
        <v>0</v>
      </c>
      <c r="C31">
        <v>0</v>
      </c>
      <c r="D31">
        <f>2.4072*C31</f>
        <v>0</v>
      </c>
      <c r="E31" s="6">
        <f>D31*2/35.5/1000</f>
        <v>0</v>
      </c>
    </row>
    <row r="32" spans="1:7">
      <c r="A32">
        <v>2.5</v>
      </c>
      <c r="B32" s="5">
        <v>1</v>
      </c>
      <c r="C32" s="7">
        <v>15.520244</v>
      </c>
      <c r="D32">
        <f>2.3989*C32</f>
        <v>37.231513331599999</v>
      </c>
      <c r="E32" s="6">
        <f t="shared" ref="E32:E41" si="2">D32*2/35.5/1000</f>
        <v>2.0975500468507044E-3</v>
      </c>
    </row>
    <row r="33" spans="1:6">
      <c r="A33">
        <v>5</v>
      </c>
      <c r="B33" s="5">
        <v>2</v>
      </c>
      <c r="C33" s="1">
        <v>16.385850000000001</v>
      </c>
      <c r="D33">
        <f t="shared" ref="D33:D41" si="3">2.3989*C33</f>
        <v>39.308015564999998</v>
      </c>
      <c r="E33" s="6">
        <f t="shared" si="2"/>
        <v>2.2145360881690142E-3</v>
      </c>
    </row>
    <row r="34" spans="1:6">
      <c r="A34">
        <v>7.5</v>
      </c>
      <c r="B34" s="5">
        <v>3</v>
      </c>
      <c r="C34">
        <v>15.902718</v>
      </c>
      <c r="D34">
        <f t="shared" si="3"/>
        <v>38.149030210199996</v>
      </c>
      <c r="E34" s="6">
        <f t="shared" si="2"/>
        <v>2.1492411386028168E-3</v>
      </c>
    </row>
    <row r="35" spans="1:6">
      <c r="A35">
        <v>10</v>
      </c>
      <c r="B35" s="5">
        <v>4</v>
      </c>
      <c r="C35">
        <v>15.611496000000001</v>
      </c>
      <c r="D35">
        <f t="shared" si="3"/>
        <v>37.4504177544</v>
      </c>
      <c r="E35" s="6">
        <f t="shared" si="2"/>
        <v>2.1098826903887323E-3</v>
      </c>
    </row>
    <row r="36" spans="1:6">
      <c r="A36">
        <v>12.5</v>
      </c>
      <c r="B36" s="5">
        <v>5</v>
      </c>
      <c r="C36">
        <v>15.286368</v>
      </c>
      <c r="D36">
        <f t="shared" si="3"/>
        <v>36.670468195199994</v>
      </c>
      <c r="E36" s="6">
        <f t="shared" si="2"/>
        <v>2.0659418701521122E-3</v>
      </c>
    </row>
    <row r="37" spans="1:6">
      <c r="A37">
        <v>15</v>
      </c>
      <c r="B37" s="5">
        <v>6</v>
      </c>
      <c r="C37">
        <v>15.110950000000001</v>
      </c>
      <c r="D37">
        <f t="shared" si="3"/>
        <v>36.249657954999996</v>
      </c>
      <c r="E37" s="6">
        <f t="shared" si="2"/>
        <v>2.0422342509859152E-3</v>
      </c>
    </row>
    <row r="38" spans="1:6">
      <c r="A38">
        <v>17.5</v>
      </c>
      <c r="B38" s="5">
        <v>7</v>
      </c>
      <c r="C38">
        <v>14.993765</v>
      </c>
      <c r="D38">
        <f t="shared" si="3"/>
        <v>35.968542858499994</v>
      </c>
      <c r="E38" s="6">
        <f t="shared" si="2"/>
        <v>2.0263967807605632E-3</v>
      </c>
    </row>
    <row r="39" spans="1:6">
      <c r="A39">
        <v>20</v>
      </c>
      <c r="B39" s="5">
        <v>8</v>
      </c>
      <c r="C39">
        <v>15.055215</v>
      </c>
      <c r="D39">
        <f t="shared" si="3"/>
        <v>36.115955263499998</v>
      </c>
      <c r="E39" s="6">
        <f t="shared" si="2"/>
        <v>2.0347017049859154E-3</v>
      </c>
    </row>
    <row r="40" spans="1:6">
      <c r="A40">
        <v>22.5</v>
      </c>
      <c r="B40" s="5">
        <v>9</v>
      </c>
      <c r="C40">
        <v>14.939019999999999</v>
      </c>
      <c r="D40">
        <f t="shared" si="3"/>
        <v>35.837215077999993</v>
      </c>
      <c r="E40" s="6">
        <f t="shared" si="2"/>
        <v>2.0189980325633797E-3</v>
      </c>
    </row>
    <row r="41" spans="1:6">
      <c r="A41">
        <v>25</v>
      </c>
      <c r="B41" s="5">
        <v>10</v>
      </c>
      <c r="C41">
        <v>15.705863000000001</v>
      </c>
      <c r="D41">
        <f t="shared" si="3"/>
        <v>37.676794750699997</v>
      </c>
      <c r="E41" s="6">
        <f t="shared" si="2"/>
        <v>2.1226363239830984E-3</v>
      </c>
    </row>
    <row r="42" spans="1:6">
      <c r="F42" t="s">
        <v>7</v>
      </c>
    </row>
    <row r="49" spans="2:2">
      <c r="B49" s="1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8A4C3-9345-469C-9ABC-8D1AD46C659A}">
  <dimension ref="A1:J49"/>
  <sheetViews>
    <sheetView workbookViewId="0"/>
  </sheetViews>
  <sheetFormatPr defaultRowHeight="14.5"/>
  <cols>
    <col min="5" max="5" width="13.453125" customWidth="1"/>
    <col min="6" max="6" width="17.36328125" style="6" customWidth="1"/>
    <col min="8" max="8" width="9.81640625" customWidth="1"/>
    <col min="9" max="9" width="17.453125" customWidth="1"/>
    <col min="12" max="12" width="15.453125" customWidth="1"/>
  </cols>
  <sheetData>
    <row r="1" spans="1:10">
      <c r="A1" t="s">
        <v>14</v>
      </c>
      <c r="D1" s="6"/>
      <c r="F1"/>
    </row>
    <row r="2" spans="1:10">
      <c r="D2" s="6"/>
      <c r="F2"/>
    </row>
    <row r="3" spans="1:10">
      <c r="A3" t="s">
        <v>5</v>
      </c>
      <c r="B3" t="s">
        <v>0</v>
      </c>
      <c r="C3" t="s">
        <v>1</v>
      </c>
      <c r="D3" s="6"/>
      <c r="E3" t="s">
        <v>4</v>
      </c>
      <c r="F3" t="s">
        <v>0</v>
      </c>
      <c r="G3" t="s">
        <v>1</v>
      </c>
    </row>
    <row r="4" spans="1:10">
      <c r="B4" s="4">
        <v>0</v>
      </c>
      <c r="C4">
        <v>0</v>
      </c>
      <c r="D4" s="6"/>
      <c r="F4" s="4">
        <v>0</v>
      </c>
      <c r="G4">
        <v>0</v>
      </c>
    </row>
    <row r="5" spans="1:10">
      <c r="B5" s="3">
        <v>1.215401</v>
      </c>
      <c r="C5">
        <v>5</v>
      </c>
      <c r="D5" s="6"/>
      <c r="F5" s="3">
        <v>0.29508899999999999</v>
      </c>
      <c r="G5">
        <v>1</v>
      </c>
    </row>
    <row r="6" spans="1:10">
      <c r="B6" s="3">
        <v>2.4209480000000001</v>
      </c>
      <c r="C6">
        <v>10</v>
      </c>
      <c r="D6" s="6"/>
      <c r="F6" s="3">
        <v>1.6029409999999999</v>
      </c>
      <c r="G6">
        <v>5</v>
      </c>
    </row>
    <row r="7" spans="1:10">
      <c r="B7" s="3">
        <v>3.7355399999999999</v>
      </c>
      <c r="C7">
        <v>15</v>
      </c>
      <c r="D7" s="6"/>
      <c r="F7" s="3">
        <v>3.4605260000000002</v>
      </c>
      <c r="G7">
        <v>10</v>
      </c>
    </row>
    <row r="8" spans="1:10">
      <c r="B8" s="3">
        <v>6.4413840000000002</v>
      </c>
      <c r="C8">
        <v>25</v>
      </c>
      <c r="D8" s="6"/>
      <c r="F8" s="3">
        <v>7.4193959999999999</v>
      </c>
      <c r="G8">
        <v>20</v>
      </c>
    </row>
    <row r="9" spans="1:10">
      <c r="B9" s="3"/>
      <c r="D9" s="6"/>
      <c r="F9" s="3">
        <v>40.013109999999998</v>
      </c>
      <c r="G9">
        <v>100</v>
      </c>
    </row>
    <row r="14" spans="1:10">
      <c r="D14" t="s">
        <v>5</v>
      </c>
    </row>
    <row r="15" spans="1:10">
      <c r="A15" t="s">
        <v>10</v>
      </c>
      <c r="B15" t="s">
        <v>11</v>
      </c>
      <c r="C15" t="s">
        <v>2</v>
      </c>
      <c r="D15" t="s">
        <v>0</v>
      </c>
      <c r="E15" t="s">
        <v>3</v>
      </c>
      <c r="F15" s="6" t="s">
        <v>6</v>
      </c>
      <c r="G15" s="2"/>
      <c r="J15" s="2"/>
    </row>
    <row r="16" spans="1:10">
      <c r="A16">
        <f t="shared" ref="A16:A26" si="0">B16/40</f>
        <v>0</v>
      </c>
      <c r="B16">
        <v>0</v>
      </c>
      <c r="C16" s="5">
        <v>0</v>
      </c>
      <c r="D16">
        <v>13.532833</v>
      </c>
      <c r="E16">
        <f t="shared" ref="E16:E26" si="1">3.9398*D16</f>
        <v>53.316655453400003</v>
      </c>
      <c r="F16" s="6">
        <f t="shared" ref="F16:F26" si="2">E16*2/96/1000</f>
        <v>1.1107636552791667E-3</v>
      </c>
    </row>
    <row r="17" spans="1:9">
      <c r="A17">
        <f t="shared" si="0"/>
        <v>2.5</v>
      </c>
      <c r="B17">
        <v>100</v>
      </c>
      <c r="C17" s="5">
        <v>1</v>
      </c>
      <c r="D17" s="1">
        <v>6.7146999999999998E-2</v>
      </c>
      <c r="E17">
        <f t="shared" si="1"/>
        <v>0.26454575060000002</v>
      </c>
      <c r="F17" s="6">
        <f t="shared" si="2"/>
        <v>5.5113698041666669E-6</v>
      </c>
    </row>
    <row r="18" spans="1:9">
      <c r="A18">
        <f t="shared" si="0"/>
        <v>5</v>
      </c>
      <c r="B18">
        <v>200</v>
      </c>
      <c r="C18" s="5">
        <v>2</v>
      </c>
      <c r="D18">
        <v>7.0028000000000007E-2</v>
      </c>
      <c r="E18">
        <f t="shared" si="1"/>
        <v>0.27589631440000001</v>
      </c>
      <c r="F18" s="6">
        <f t="shared" si="2"/>
        <v>5.7478398833333339E-6</v>
      </c>
    </row>
    <row r="19" spans="1:9">
      <c r="A19">
        <f t="shared" si="0"/>
        <v>7.5</v>
      </c>
      <c r="B19">
        <v>300</v>
      </c>
      <c r="C19" s="5">
        <v>3</v>
      </c>
      <c r="D19">
        <v>7.5528999999999999E-2</v>
      </c>
      <c r="E19">
        <f t="shared" si="1"/>
        <v>0.29756915420000002</v>
      </c>
      <c r="F19" s="6">
        <f t="shared" si="2"/>
        <v>6.1993573791666664E-6</v>
      </c>
    </row>
    <row r="20" spans="1:9">
      <c r="A20">
        <f t="shared" si="0"/>
        <v>10</v>
      </c>
      <c r="B20">
        <v>400</v>
      </c>
      <c r="C20" s="5">
        <v>4</v>
      </c>
      <c r="D20" s="1">
        <v>7.1961999999999998E-2</v>
      </c>
      <c r="E20">
        <f t="shared" si="1"/>
        <v>0.28351588760000002</v>
      </c>
      <c r="F20" s="6">
        <f t="shared" si="2"/>
        <v>5.9065809916666671E-6</v>
      </c>
    </row>
    <row r="21" spans="1:9">
      <c r="A21">
        <f t="shared" si="0"/>
        <v>12.5</v>
      </c>
      <c r="B21">
        <v>500</v>
      </c>
      <c r="C21" s="5">
        <v>5</v>
      </c>
      <c r="D21">
        <v>7.4561000000000002E-2</v>
      </c>
      <c r="E21">
        <f t="shared" si="1"/>
        <v>0.29375542780000002</v>
      </c>
      <c r="F21" s="6">
        <f t="shared" si="2"/>
        <v>6.1199047458333341E-6</v>
      </c>
    </row>
    <row r="22" spans="1:9">
      <c r="A22">
        <f t="shared" si="0"/>
        <v>15</v>
      </c>
      <c r="B22">
        <v>600</v>
      </c>
      <c r="C22" s="5">
        <v>6</v>
      </c>
      <c r="D22">
        <v>7.4818999999999997E-2</v>
      </c>
      <c r="E22">
        <f t="shared" si="1"/>
        <v>0.29477189619999999</v>
      </c>
      <c r="F22" s="6">
        <f t="shared" si="2"/>
        <v>6.1410811708333335E-6</v>
      </c>
    </row>
    <row r="23" spans="1:9">
      <c r="A23">
        <f t="shared" si="0"/>
        <v>17.5</v>
      </c>
      <c r="B23">
        <v>700</v>
      </c>
      <c r="C23" s="5">
        <v>7</v>
      </c>
      <c r="D23">
        <v>7.5744000000000006E-2</v>
      </c>
      <c r="E23">
        <f t="shared" si="1"/>
        <v>0.2984162112</v>
      </c>
      <c r="F23" s="6">
        <f t="shared" si="2"/>
        <v>6.2170043999999998E-6</v>
      </c>
    </row>
    <row r="24" spans="1:9">
      <c r="A24">
        <f t="shared" si="0"/>
        <v>20</v>
      </c>
      <c r="B24">
        <v>800</v>
      </c>
      <c r="C24" s="5">
        <v>8</v>
      </c>
      <c r="D24">
        <v>7.6216000000000006E-2</v>
      </c>
      <c r="E24">
        <f t="shared" si="1"/>
        <v>0.30027579679999999</v>
      </c>
      <c r="F24" s="6">
        <f t="shared" si="2"/>
        <v>6.2557457666666669E-6</v>
      </c>
    </row>
    <row r="25" spans="1:9">
      <c r="A25">
        <f t="shared" si="0"/>
        <v>22.5</v>
      </c>
      <c r="B25">
        <v>900</v>
      </c>
      <c r="C25" s="5">
        <v>9</v>
      </c>
      <c r="D25">
        <v>7.7909000000000006E-2</v>
      </c>
      <c r="E25">
        <f t="shared" si="1"/>
        <v>0.30694587820000002</v>
      </c>
      <c r="F25" s="6">
        <f t="shared" si="2"/>
        <v>6.3947057958333338E-6</v>
      </c>
    </row>
    <row r="26" spans="1:9">
      <c r="A26">
        <f t="shared" si="0"/>
        <v>25</v>
      </c>
      <c r="B26">
        <v>1000</v>
      </c>
      <c r="C26" s="5">
        <v>10</v>
      </c>
      <c r="D26">
        <v>7.6121999999999995E-2</v>
      </c>
      <c r="E26">
        <f t="shared" si="1"/>
        <v>0.29990545559999998</v>
      </c>
      <c r="F26" s="6">
        <f t="shared" si="2"/>
        <v>6.2480303249999999E-6</v>
      </c>
      <c r="G26" s="2"/>
    </row>
    <row r="28" spans="1:9">
      <c r="G28" s="2"/>
      <c r="H28" s="2"/>
      <c r="I28" s="2"/>
    </row>
    <row r="29" spans="1:9">
      <c r="C29" t="s">
        <v>4</v>
      </c>
      <c r="E29" s="6"/>
      <c r="F29" s="2"/>
      <c r="H29" s="2"/>
      <c r="I29" s="2"/>
    </row>
    <row r="30" spans="1:9">
      <c r="A30" t="s">
        <v>10</v>
      </c>
      <c r="B30" t="s">
        <v>2</v>
      </c>
      <c r="C30" t="s">
        <v>0</v>
      </c>
      <c r="D30" t="s">
        <v>3</v>
      </c>
      <c r="E30" s="6" t="s">
        <v>6</v>
      </c>
      <c r="F30" t="s">
        <v>9</v>
      </c>
    </row>
    <row r="31" spans="1:9">
      <c r="A31">
        <v>0</v>
      </c>
      <c r="B31" s="5">
        <v>0</v>
      </c>
      <c r="C31">
        <v>0</v>
      </c>
      <c r="D31">
        <f t="shared" ref="D31:D41" si="3">2.5095*C31</f>
        <v>0</v>
      </c>
      <c r="E31" s="6">
        <f t="shared" ref="E31:E41" si="4">D31*2/35.5/1000</f>
        <v>0</v>
      </c>
      <c r="F31">
        <f t="shared" ref="F31:F41" si="5">E31*35.5*1000</f>
        <v>0</v>
      </c>
    </row>
    <row r="32" spans="1:9">
      <c r="A32">
        <v>2.5</v>
      </c>
      <c r="B32" s="5">
        <v>1</v>
      </c>
      <c r="C32" s="7">
        <v>14.280208999999999</v>
      </c>
      <c r="D32">
        <f t="shared" si="3"/>
        <v>35.836184485499999</v>
      </c>
      <c r="E32" s="6">
        <f t="shared" si="4"/>
        <v>2.0189399710140842E-3</v>
      </c>
      <c r="F32">
        <f t="shared" si="5"/>
        <v>71.672368970999983</v>
      </c>
    </row>
    <row r="33" spans="1:8">
      <c r="A33">
        <v>5</v>
      </c>
      <c r="B33" s="5">
        <v>2</v>
      </c>
      <c r="C33" s="1">
        <v>14.758846</v>
      </c>
      <c r="D33">
        <f t="shared" si="3"/>
        <v>37.037324037000005</v>
      </c>
      <c r="E33" s="6">
        <f t="shared" si="4"/>
        <v>2.0866098049014087E-3</v>
      </c>
      <c r="F33">
        <f t="shared" si="5"/>
        <v>74.07464807400001</v>
      </c>
    </row>
    <row r="34" spans="1:8">
      <c r="A34">
        <v>7.5</v>
      </c>
      <c r="B34" s="5">
        <v>3</v>
      </c>
      <c r="C34">
        <v>14.647764</v>
      </c>
      <c r="D34">
        <f t="shared" si="3"/>
        <v>36.758563758000001</v>
      </c>
      <c r="E34" s="6">
        <f t="shared" si="4"/>
        <v>2.0709050004507042E-3</v>
      </c>
      <c r="F34">
        <f t="shared" si="5"/>
        <v>73.517127515999988</v>
      </c>
    </row>
    <row r="35" spans="1:8">
      <c r="A35">
        <v>10</v>
      </c>
      <c r="B35" s="5">
        <v>4</v>
      </c>
      <c r="C35">
        <v>14.508196</v>
      </c>
      <c r="D35">
        <f t="shared" si="3"/>
        <v>36.408317862000004</v>
      </c>
      <c r="E35" s="6">
        <f t="shared" si="4"/>
        <v>2.0511728372957748E-3</v>
      </c>
      <c r="F35">
        <f t="shared" si="5"/>
        <v>72.816635724000008</v>
      </c>
    </row>
    <row r="36" spans="1:8">
      <c r="A36">
        <v>12.5</v>
      </c>
      <c r="B36" s="5">
        <v>5</v>
      </c>
      <c r="C36">
        <v>14.566501000000001</v>
      </c>
      <c r="D36">
        <f t="shared" si="3"/>
        <v>36.554634259500006</v>
      </c>
      <c r="E36" s="6">
        <f t="shared" si="4"/>
        <v>2.0594160146197183E-3</v>
      </c>
      <c r="F36">
        <f t="shared" si="5"/>
        <v>73.109268518999997</v>
      </c>
    </row>
    <row r="37" spans="1:8">
      <c r="A37">
        <v>15</v>
      </c>
      <c r="B37" s="5">
        <v>6</v>
      </c>
      <c r="C37">
        <v>14.482101</v>
      </c>
      <c r="D37">
        <f t="shared" si="3"/>
        <v>36.342832459500002</v>
      </c>
      <c r="E37" s="6">
        <f t="shared" si="4"/>
        <v>2.0474835188450708E-3</v>
      </c>
      <c r="F37">
        <f t="shared" si="5"/>
        <v>72.685664919000018</v>
      </c>
    </row>
    <row r="38" spans="1:8">
      <c r="A38">
        <v>17.5</v>
      </c>
      <c r="B38" s="5">
        <v>7</v>
      </c>
      <c r="C38">
        <v>14.501443999999999</v>
      </c>
      <c r="D38">
        <f t="shared" si="3"/>
        <v>36.391373717999997</v>
      </c>
      <c r="E38" s="6">
        <f t="shared" si="4"/>
        <v>2.0502182376338023E-3</v>
      </c>
      <c r="F38">
        <f t="shared" si="5"/>
        <v>72.78274743599998</v>
      </c>
    </row>
    <row r="39" spans="1:8">
      <c r="A39">
        <v>20</v>
      </c>
      <c r="B39" s="5">
        <v>8</v>
      </c>
      <c r="C39">
        <v>14.584529</v>
      </c>
      <c r="D39">
        <f t="shared" si="3"/>
        <v>36.599875525500003</v>
      </c>
      <c r="E39" s="6">
        <f t="shared" si="4"/>
        <v>2.0619648183380287E-3</v>
      </c>
      <c r="F39">
        <f t="shared" si="5"/>
        <v>73.199751051000021</v>
      </c>
    </row>
    <row r="40" spans="1:8">
      <c r="A40">
        <v>22.5</v>
      </c>
      <c r="B40" s="5">
        <v>9</v>
      </c>
      <c r="C40">
        <v>14.598706999999999</v>
      </c>
      <c r="D40">
        <f t="shared" si="3"/>
        <v>36.635455216499999</v>
      </c>
      <c r="E40" s="6">
        <f t="shared" si="4"/>
        <v>2.0639693079718309E-3</v>
      </c>
      <c r="F40">
        <f t="shared" si="5"/>
        <v>73.270910432999997</v>
      </c>
    </row>
    <row r="41" spans="1:8">
      <c r="A41">
        <v>25</v>
      </c>
      <c r="B41" s="5">
        <v>10</v>
      </c>
      <c r="C41">
        <v>15.172663</v>
      </c>
      <c r="D41">
        <f t="shared" si="3"/>
        <v>38.075797798499998</v>
      </c>
      <c r="E41" s="6">
        <f t="shared" si="4"/>
        <v>2.1451153689295774E-3</v>
      </c>
      <c r="F41">
        <f t="shared" si="5"/>
        <v>76.151595596999996</v>
      </c>
    </row>
    <row r="42" spans="1:8">
      <c r="H42" t="s">
        <v>7</v>
      </c>
    </row>
    <row r="49" spans="4:4">
      <c r="D49" s="1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EF7BA-498C-4EED-9C83-40452CAA4525}">
  <dimension ref="A1:J47"/>
  <sheetViews>
    <sheetView workbookViewId="0">
      <selection activeCell="H26" sqref="H26"/>
    </sheetView>
  </sheetViews>
  <sheetFormatPr defaultRowHeight="14.5"/>
  <cols>
    <col min="4" max="4" width="18.90625" customWidth="1"/>
    <col min="5" max="5" width="15.7265625" customWidth="1"/>
    <col min="6" max="6" width="17.36328125" style="6" customWidth="1"/>
    <col min="8" max="8" width="9.81640625" customWidth="1"/>
    <col min="9" max="9" width="17.453125" customWidth="1"/>
    <col min="12" max="12" width="15.453125" customWidth="1"/>
  </cols>
  <sheetData>
    <row r="1" spans="1:10">
      <c r="A1" t="s">
        <v>14</v>
      </c>
    </row>
    <row r="2" spans="1:10">
      <c r="A2" t="s">
        <v>5</v>
      </c>
      <c r="B2" t="s">
        <v>0</v>
      </c>
      <c r="C2" t="s">
        <v>1</v>
      </c>
      <c r="D2" s="6"/>
      <c r="E2" t="s">
        <v>4</v>
      </c>
      <c r="F2" t="s">
        <v>0</v>
      </c>
      <c r="G2" t="s">
        <v>1</v>
      </c>
    </row>
    <row r="3" spans="1:10">
      <c r="B3" s="4">
        <v>0</v>
      </c>
      <c r="C3">
        <v>0</v>
      </c>
      <c r="D3" s="6"/>
      <c r="F3" s="4">
        <v>0</v>
      </c>
      <c r="G3">
        <v>0</v>
      </c>
    </row>
    <row r="4" spans="1:10">
      <c r="B4" s="3">
        <v>1.370846</v>
      </c>
      <c r="C4">
        <v>5</v>
      </c>
      <c r="D4" s="6"/>
      <c r="F4" s="3">
        <v>0.33787499999999998</v>
      </c>
      <c r="G4">
        <v>1</v>
      </c>
    </row>
    <row r="5" spans="1:10">
      <c r="B5" s="3">
        <v>2.684018</v>
      </c>
      <c r="C5">
        <v>10</v>
      </c>
      <c r="D5" s="6"/>
      <c r="F5" s="3">
        <v>1.8081879999999999</v>
      </c>
      <c r="G5">
        <v>5</v>
      </c>
    </row>
    <row r="6" spans="1:10">
      <c r="B6" s="3">
        <v>4.1423709999999998</v>
      </c>
      <c r="C6">
        <v>15</v>
      </c>
      <c r="D6" s="6"/>
      <c r="F6" s="3">
        <v>3.860652</v>
      </c>
      <c r="G6">
        <v>10</v>
      </c>
    </row>
    <row r="7" spans="1:10">
      <c r="B7" s="3">
        <v>7.0945499999999999</v>
      </c>
      <c r="C7">
        <v>25</v>
      </c>
      <c r="D7" s="6"/>
      <c r="F7" s="3">
        <v>8.0722190000000005</v>
      </c>
      <c r="G7">
        <v>20</v>
      </c>
    </row>
    <row r="8" spans="1:10">
      <c r="B8" s="3"/>
      <c r="D8" s="6"/>
      <c r="F8" s="3">
        <v>42.398018999999998</v>
      </c>
      <c r="G8">
        <v>100</v>
      </c>
    </row>
    <row r="12" spans="1:10">
      <c r="C12" t="s">
        <v>5</v>
      </c>
      <c r="E12" s="6"/>
      <c r="F12"/>
    </row>
    <row r="13" spans="1:10">
      <c r="A13" t="s">
        <v>10</v>
      </c>
      <c r="B13" t="s">
        <v>2</v>
      </c>
      <c r="C13" t="s">
        <v>0</v>
      </c>
      <c r="D13" t="s">
        <v>3</v>
      </c>
      <c r="E13" s="6" t="s">
        <v>12</v>
      </c>
      <c r="F13" s="1" t="s">
        <v>13</v>
      </c>
      <c r="J13" s="2"/>
    </row>
    <row r="14" spans="1:10">
      <c r="A14">
        <v>0</v>
      </c>
      <c r="B14" s="5">
        <v>0</v>
      </c>
      <c r="C14">
        <v>14.8</v>
      </c>
      <c r="D14">
        <f t="shared" ref="D14:D24" si="0">3.5677*C14</f>
        <v>52.801960000000001</v>
      </c>
      <c r="E14" s="6">
        <f t="shared" ref="E14:E24" si="1">D14*20/96/1000</f>
        <v>1.1000408333333333E-2</v>
      </c>
      <c r="F14">
        <f t="shared" ref="F14:F24" si="2">E14*96*1000</f>
        <v>1056.0391999999999</v>
      </c>
    </row>
    <row r="15" spans="1:10">
      <c r="A15">
        <v>2.5</v>
      </c>
      <c r="B15" s="5">
        <v>1</v>
      </c>
      <c r="C15" s="1">
        <v>6.7880999999999997E-2</v>
      </c>
      <c r="D15">
        <f t="shared" si="0"/>
        <v>0.24217904369999999</v>
      </c>
      <c r="E15" s="6">
        <f t="shared" si="1"/>
        <v>5.0453967437499996E-5</v>
      </c>
      <c r="F15">
        <f t="shared" si="2"/>
        <v>4.8435808739999988</v>
      </c>
    </row>
    <row r="16" spans="1:10">
      <c r="A16">
        <v>5</v>
      </c>
      <c r="B16" s="5">
        <v>2</v>
      </c>
      <c r="C16">
        <v>6.6156999999999994E-2</v>
      </c>
      <c r="D16">
        <f t="shared" si="0"/>
        <v>0.23602832889999997</v>
      </c>
      <c r="E16" s="6">
        <f t="shared" si="1"/>
        <v>4.9172568520833326E-5</v>
      </c>
      <c r="F16">
        <f t="shared" si="2"/>
        <v>4.7205665779999997</v>
      </c>
    </row>
    <row r="17" spans="1:9">
      <c r="A17">
        <v>7.5</v>
      </c>
      <c r="B17" s="5">
        <v>3</v>
      </c>
      <c r="C17">
        <v>6.6809999999999994E-2</v>
      </c>
      <c r="D17">
        <f t="shared" si="0"/>
        <v>0.23835803699999997</v>
      </c>
      <c r="E17" s="6">
        <f t="shared" si="1"/>
        <v>4.9657924374999995E-5</v>
      </c>
      <c r="F17">
        <f t="shared" si="2"/>
        <v>4.7671607399999996</v>
      </c>
    </row>
    <row r="18" spans="1:9">
      <c r="A18">
        <v>10</v>
      </c>
      <c r="B18" s="5">
        <v>4</v>
      </c>
      <c r="C18" s="1">
        <v>6.5086000000000005E-2</v>
      </c>
      <c r="D18">
        <f t="shared" si="0"/>
        <v>0.23220732220000001</v>
      </c>
      <c r="E18" s="6">
        <f t="shared" si="1"/>
        <v>4.8376525458333338E-5</v>
      </c>
      <c r="F18">
        <f t="shared" si="2"/>
        <v>4.6441464440000004</v>
      </c>
    </row>
    <row r="19" spans="1:9">
      <c r="A19">
        <v>12.5</v>
      </c>
      <c r="B19" s="5">
        <v>5</v>
      </c>
      <c r="C19">
        <v>6.5934000000000006E-2</v>
      </c>
      <c r="D19">
        <f t="shared" si="0"/>
        <v>0.23523273180000001</v>
      </c>
      <c r="E19" s="6">
        <f t="shared" si="1"/>
        <v>4.9006819124999998E-5</v>
      </c>
      <c r="F19">
        <f t="shared" si="2"/>
        <v>4.7046546359999999</v>
      </c>
    </row>
    <row r="20" spans="1:9">
      <c r="A20">
        <v>15</v>
      </c>
      <c r="B20" s="5">
        <v>6</v>
      </c>
      <c r="C20">
        <v>6.6102999999999995E-2</v>
      </c>
      <c r="D20">
        <f t="shared" si="0"/>
        <v>0.23583567309999998</v>
      </c>
      <c r="E20" s="6">
        <f t="shared" si="1"/>
        <v>4.913243189583333E-5</v>
      </c>
      <c r="F20">
        <f t="shared" si="2"/>
        <v>4.7167134619999995</v>
      </c>
    </row>
    <row r="21" spans="1:9">
      <c r="A21">
        <v>17.5</v>
      </c>
      <c r="B21" s="5">
        <v>7</v>
      </c>
      <c r="C21">
        <v>6.5158999999999995E-2</v>
      </c>
      <c r="D21">
        <f t="shared" si="0"/>
        <v>0.23246776429999996</v>
      </c>
      <c r="E21" s="6">
        <f t="shared" si="1"/>
        <v>4.8430784229166661E-5</v>
      </c>
      <c r="F21">
        <f t="shared" si="2"/>
        <v>4.6493552859999996</v>
      </c>
    </row>
    <row r="22" spans="1:9">
      <c r="A22">
        <v>20</v>
      </c>
      <c r="B22" s="5">
        <v>8</v>
      </c>
      <c r="C22">
        <v>6.5984000000000001E-2</v>
      </c>
      <c r="D22">
        <f t="shared" si="0"/>
        <v>0.23541111679999999</v>
      </c>
      <c r="E22" s="6">
        <f t="shared" si="1"/>
        <v>4.9043982666666657E-5</v>
      </c>
      <c r="F22">
        <f t="shared" si="2"/>
        <v>4.7082223359999995</v>
      </c>
    </row>
    <row r="23" spans="1:9">
      <c r="A23">
        <v>22.5</v>
      </c>
      <c r="B23" s="5">
        <v>9</v>
      </c>
      <c r="C23">
        <v>6.5834000000000004E-2</v>
      </c>
      <c r="D23">
        <f t="shared" si="0"/>
        <v>0.2348759618</v>
      </c>
      <c r="E23" s="6">
        <f t="shared" si="1"/>
        <v>4.8932492041666666E-5</v>
      </c>
      <c r="F23">
        <f t="shared" si="2"/>
        <v>4.6975192359999998</v>
      </c>
    </row>
    <row r="24" spans="1:9">
      <c r="A24">
        <v>25</v>
      </c>
      <c r="B24" s="5">
        <v>10</v>
      </c>
      <c r="C24">
        <v>6.6181000000000004E-2</v>
      </c>
      <c r="D24">
        <f t="shared" si="0"/>
        <v>0.23611395370000002</v>
      </c>
      <c r="E24" s="6">
        <f t="shared" si="1"/>
        <v>4.9190407020833333E-5</v>
      </c>
      <c r="F24">
        <f t="shared" si="2"/>
        <v>4.7222790740000002</v>
      </c>
    </row>
    <row r="26" spans="1:9">
      <c r="G26" s="2"/>
      <c r="H26" s="2"/>
      <c r="I26" s="2"/>
    </row>
    <row r="27" spans="1:9">
      <c r="C27" t="s">
        <v>4</v>
      </c>
      <c r="E27" s="6"/>
      <c r="F27" s="2"/>
      <c r="H27" s="2"/>
      <c r="I27" s="2"/>
    </row>
    <row r="28" spans="1:9">
      <c r="A28" t="s">
        <v>10</v>
      </c>
      <c r="B28" t="s">
        <v>2</v>
      </c>
      <c r="C28" t="s">
        <v>0</v>
      </c>
      <c r="D28" t="s">
        <v>3</v>
      </c>
      <c r="E28" s="6" t="s">
        <v>12</v>
      </c>
      <c r="F28"/>
    </row>
    <row r="29" spans="1:9">
      <c r="A29">
        <v>0</v>
      </c>
      <c r="B29" s="5">
        <v>0</v>
      </c>
      <c r="C29">
        <v>0</v>
      </c>
      <c r="D29">
        <f t="shared" ref="D29:D39" si="3">2.3653*C29</f>
        <v>0</v>
      </c>
      <c r="E29" s="6">
        <f t="shared" ref="E29:E39" si="4">D29*20/35.5/1000</f>
        <v>0</v>
      </c>
      <c r="F29">
        <f>E29*35.5</f>
        <v>0</v>
      </c>
    </row>
    <row r="30" spans="1:9">
      <c r="A30">
        <v>2.5</v>
      </c>
      <c r="B30" s="5">
        <v>1</v>
      </c>
      <c r="C30" s="8">
        <v>3.5219819999999999</v>
      </c>
      <c r="D30">
        <f t="shared" si="3"/>
        <v>8.3305440246</v>
      </c>
      <c r="E30" s="6">
        <f t="shared" si="4"/>
        <v>4.6932642392112679E-3</v>
      </c>
      <c r="F30">
        <f t="shared" ref="F30:F39" si="5">E30*35.5*1000</f>
        <v>166.61088049200001</v>
      </c>
    </row>
    <row r="31" spans="1:9">
      <c r="A31">
        <v>5</v>
      </c>
      <c r="B31" s="5">
        <v>2</v>
      </c>
      <c r="C31" s="1">
        <v>15.245867000000001</v>
      </c>
      <c r="D31">
        <f t="shared" si="3"/>
        <v>36.061049215099999</v>
      </c>
      <c r="E31" s="6">
        <f t="shared" si="4"/>
        <v>2.0316084064845072E-2</v>
      </c>
      <c r="F31">
        <f t="shared" si="5"/>
        <v>721.22098430200015</v>
      </c>
    </row>
    <row r="32" spans="1:9">
      <c r="A32">
        <v>7.5</v>
      </c>
      <c r="B32" s="5">
        <v>3</v>
      </c>
      <c r="C32">
        <v>15.256598</v>
      </c>
      <c r="D32">
        <f t="shared" si="3"/>
        <v>36.0864312494</v>
      </c>
      <c r="E32" s="6">
        <f t="shared" si="4"/>
        <v>2.0330383802478875E-2</v>
      </c>
      <c r="F32">
        <f t="shared" si="5"/>
        <v>721.72862498800009</v>
      </c>
    </row>
    <row r="33" spans="1:8">
      <c r="A33">
        <v>10</v>
      </c>
      <c r="B33" s="5">
        <v>4</v>
      </c>
      <c r="C33">
        <v>15.295107</v>
      </c>
      <c r="D33">
        <f t="shared" si="3"/>
        <v>36.177516587100001</v>
      </c>
      <c r="E33" s="6">
        <f t="shared" si="4"/>
        <v>2.0381699485690141E-2</v>
      </c>
      <c r="F33">
        <f t="shared" si="5"/>
        <v>723.55033174200003</v>
      </c>
    </row>
    <row r="34" spans="1:8">
      <c r="A34">
        <v>12.5</v>
      </c>
      <c r="B34" s="5">
        <v>5</v>
      </c>
      <c r="C34">
        <v>15.331007</v>
      </c>
      <c r="D34">
        <f t="shared" si="3"/>
        <v>36.2624308571</v>
      </c>
      <c r="E34" s="6">
        <f t="shared" si="4"/>
        <v>2.0429538511042258E-2</v>
      </c>
      <c r="F34">
        <f t="shared" si="5"/>
        <v>725.24861714200017</v>
      </c>
    </row>
    <row r="35" spans="1:8">
      <c r="A35">
        <v>15</v>
      </c>
      <c r="B35" s="5">
        <v>6</v>
      </c>
      <c r="C35">
        <v>15.178245</v>
      </c>
      <c r="D35">
        <f t="shared" si="3"/>
        <v>35.9011028985</v>
      </c>
      <c r="E35" s="6">
        <f t="shared" si="4"/>
        <v>2.0225973463943659E-2</v>
      </c>
      <c r="F35">
        <f t="shared" si="5"/>
        <v>718.02205796999988</v>
      </c>
    </row>
    <row r="36" spans="1:8">
      <c r="A36">
        <v>17.5</v>
      </c>
      <c r="B36" s="5">
        <v>7</v>
      </c>
      <c r="C36">
        <v>15.351687</v>
      </c>
      <c r="D36">
        <f t="shared" si="3"/>
        <v>36.311345261100001</v>
      </c>
      <c r="E36" s="6">
        <f t="shared" si="4"/>
        <v>2.0457095921746479E-2</v>
      </c>
      <c r="F36">
        <f t="shared" si="5"/>
        <v>726.22690522200003</v>
      </c>
    </row>
    <row r="37" spans="1:8">
      <c r="A37">
        <v>20</v>
      </c>
      <c r="B37" s="5">
        <v>8</v>
      </c>
      <c r="C37">
        <v>15.354481</v>
      </c>
      <c r="D37">
        <f t="shared" si="3"/>
        <v>36.317953909300002</v>
      </c>
      <c r="E37" s="6">
        <f t="shared" si="4"/>
        <v>2.0460819103830987E-2</v>
      </c>
      <c r="F37">
        <f t="shared" si="5"/>
        <v>726.35907818600015</v>
      </c>
    </row>
    <row r="38" spans="1:8">
      <c r="A38">
        <v>22.5</v>
      </c>
      <c r="B38" s="5">
        <v>9</v>
      </c>
      <c r="C38">
        <v>15.334441</v>
      </c>
      <c r="D38">
        <f t="shared" si="3"/>
        <v>36.270553297299998</v>
      </c>
      <c r="E38" s="6">
        <f t="shared" si="4"/>
        <v>2.043411453369014E-2</v>
      </c>
      <c r="F38">
        <f t="shared" si="5"/>
        <v>725.41106594600001</v>
      </c>
    </row>
    <row r="39" spans="1:8">
      <c r="A39">
        <v>25</v>
      </c>
      <c r="B39" s="5">
        <v>10</v>
      </c>
      <c r="C39">
        <v>15.397593000000001</v>
      </c>
      <c r="D39">
        <f t="shared" si="3"/>
        <v>36.419926722900001</v>
      </c>
      <c r="E39" s="6">
        <f t="shared" si="4"/>
        <v>2.0518268576281692E-2</v>
      </c>
      <c r="F39">
        <f t="shared" si="5"/>
        <v>728.39853445800009</v>
      </c>
    </row>
    <row r="40" spans="1:8">
      <c r="H40" t="s">
        <v>7</v>
      </c>
    </row>
    <row r="47" spans="1:8">
      <c r="D47" s="1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1748-2955-4E15-8B93-CCD7B45C0709}">
  <dimension ref="A1:J66"/>
  <sheetViews>
    <sheetView topLeftCell="A22" workbookViewId="0">
      <selection activeCell="I45" sqref="I45"/>
    </sheetView>
  </sheetViews>
  <sheetFormatPr defaultRowHeight="14.5"/>
  <cols>
    <col min="4" max="4" width="18.90625" customWidth="1"/>
    <col min="5" max="5" width="15.7265625" customWidth="1"/>
    <col min="6" max="6" width="17.36328125" style="6" customWidth="1"/>
    <col min="8" max="8" width="9.81640625" customWidth="1"/>
    <col min="9" max="9" width="17.453125" customWidth="1"/>
    <col min="12" max="12" width="15.453125" customWidth="1"/>
  </cols>
  <sheetData>
    <row r="1" spans="1:10">
      <c r="A1" t="s">
        <v>15</v>
      </c>
    </row>
    <row r="2" spans="1:10">
      <c r="A2" t="s">
        <v>5</v>
      </c>
      <c r="B2" t="s">
        <v>0</v>
      </c>
      <c r="C2" t="s">
        <v>1</v>
      </c>
      <c r="D2" s="6"/>
      <c r="E2" t="s">
        <v>4</v>
      </c>
      <c r="F2" t="s">
        <v>0</v>
      </c>
      <c r="G2" t="s">
        <v>1</v>
      </c>
    </row>
    <row r="3" spans="1:10">
      <c r="B3" s="4">
        <v>0</v>
      </c>
      <c r="C3">
        <v>0</v>
      </c>
      <c r="D3" s="6"/>
      <c r="F3" s="4">
        <v>0</v>
      </c>
      <c r="G3">
        <v>0</v>
      </c>
    </row>
    <row r="4" spans="1:10">
      <c r="B4" s="3">
        <v>1.2407919999999999</v>
      </c>
      <c r="C4">
        <v>5</v>
      </c>
      <c r="D4" s="6"/>
      <c r="F4" s="3">
        <v>0.31217</v>
      </c>
      <c r="G4">
        <v>1</v>
      </c>
    </row>
    <row r="5" spans="1:10">
      <c r="B5" s="3">
        <v>2.505261</v>
      </c>
      <c r="C5">
        <v>10</v>
      </c>
      <c r="D5" s="6"/>
      <c r="F5" s="3">
        <v>1.744783</v>
      </c>
      <c r="G5">
        <v>5</v>
      </c>
    </row>
    <row r="6" spans="1:10">
      <c r="B6" s="3">
        <v>3.7897180000000001</v>
      </c>
      <c r="C6">
        <v>15</v>
      </c>
      <c r="D6" s="6"/>
      <c r="F6" s="3">
        <v>3.7358039999999999</v>
      </c>
      <c r="G6">
        <v>10</v>
      </c>
    </row>
    <row r="7" spans="1:10">
      <c r="B7" s="3">
        <v>6.5928279999999999</v>
      </c>
      <c r="C7">
        <v>25</v>
      </c>
      <c r="D7" s="6"/>
      <c r="F7" s="3">
        <v>7.9735360000000002</v>
      </c>
      <c r="G7">
        <v>20</v>
      </c>
    </row>
    <row r="8" spans="1:10">
      <c r="B8" s="3"/>
      <c r="D8" s="6"/>
      <c r="F8" s="3">
        <v>42.418332999999997</v>
      </c>
      <c r="G8">
        <v>100</v>
      </c>
    </row>
    <row r="12" spans="1:10">
      <c r="D12" t="s">
        <v>5</v>
      </c>
    </row>
    <row r="13" spans="1:10">
      <c r="A13" t="s">
        <v>10</v>
      </c>
      <c r="B13" t="s">
        <v>18</v>
      </c>
      <c r="C13" t="s">
        <v>17</v>
      </c>
      <c r="D13" t="s">
        <v>0</v>
      </c>
      <c r="E13" t="s">
        <v>3</v>
      </c>
      <c r="F13" s="6" t="s">
        <v>16</v>
      </c>
      <c r="G13" s="1" t="s">
        <v>13</v>
      </c>
      <c r="J13" s="2"/>
    </row>
    <row r="14" spans="1:10">
      <c r="A14">
        <f>B14/40</f>
        <v>0</v>
      </c>
      <c r="B14">
        <v>0</v>
      </c>
      <c r="C14">
        <v>0</v>
      </c>
      <c r="D14">
        <v>12.009895</v>
      </c>
      <c r="E14">
        <f>3.853*D14</f>
        <v>46.274125435000002</v>
      </c>
      <c r="F14" s="6">
        <f>E14*100/96/1000</f>
        <v>4.8202213994791673E-2</v>
      </c>
      <c r="G14">
        <f>F14*96*1000</f>
        <v>4627.4125435000005</v>
      </c>
    </row>
    <row r="15" spans="1:10">
      <c r="A15">
        <f t="shared" ref="A15:A35" si="0">B15/40</f>
        <v>0</v>
      </c>
      <c r="B15">
        <v>0</v>
      </c>
      <c r="C15">
        <v>1</v>
      </c>
      <c r="D15">
        <v>1.1896E-2</v>
      </c>
      <c r="E15">
        <f t="shared" ref="E15:E35" si="1">3.853*D15</f>
        <v>4.5835288000000002E-2</v>
      </c>
      <c r="F15" s="6">
        <f t="shared" ref="F15:F35" si="2">E15*100/96/1000</f>
        <v>4.774509166666666E-5</v>
      </c>
      <c r="G15">
        <f t="shared" ref="G15:G35" si="3">F15*96*1000</f>
        <v>4.583528799999999</v>
      </c>
    </row>
    <row r="16" spans="1:10">
      <c r="A16">
        <f t="shared" si="0"/>
        <v>5</v>
      </c>
      <c r="B16">
        <v>200</v>
      </c>
      <c r="C16">
        <v>2</v>
      </c>
      <c r="D16">
        <v>2.8879709999999998</v>
      </c>
      <c r="E16">
        <f t="shared" si="1"/>
        <v>11.127352263000001</v>
      </c>
      <c r="F16" s="6">
        <f t="shared" si="2"/>
        <v>1.1590991940625002E-2</v>
      </c>
      <c r="G16">
        <f t="shared" si="3"/>
        <v>1112.7352263</v>
      </c>
    </row>
    <row r="17" spans="1:9">
      <c r="A17">
        <f t="shared" si="0"/>
        <v>10</v>
      </c>
      <c r="B17">
        <v>400</v>
      </c>
      <c r="C17">
        <v>3</v>
      </c>
      <c r="D17">
        <v>9.8563270000000003</v>
      </c>
      <c r="E17">
        <f t="shared" si="1"/>
        <v>37.976427931000003</v>
      </c>
      <c r="F17" s="6">
        <f t="shared" si="2"/>
        <v>3.955877909479167E-2</v>
      </c>
      <c r="G17">
        <f t="shared" si="3"/>
        <v>3797.6427931000007</v>
      </c>
    </row>
    <row r="18" spans="1:9">
      <c r="A18">
        <f t="shared" si="0"/>
        <v>15</v>
      </c>
      <c r="B18">
        <v>600</v>
      </c>
      <c r="C18">
        <v>4</v>
      </c>
      <c r="D18">
        <v>11.210087</v>
      </c>
      <c r="E18">
        <f t="shared" si="1"/>
        <v>43.192465210999998</v>
      </c>
      <c r="F18" s="6">
        <f t="shared" si="2"/>
        <v>4.4992151261458335E-2</v>
      </c>
      <c r="G18">
        <f t="shared" si="3"/>
        <v>4319.2465210999999</v>
      </c>
    </row>
    <row r="19" spans="1:9">
      <c r="A19">
        <f t="shared" si="0"/>
        <v>20</v>
      </c>
      <c r="B19">
        <v>800</v>
      </c>
      <c r="C19">
        <v>5</v>
      </c>
      <c r="D19">
        <v>9.998678</v>
      </c>
      <c r="E19">
        <f t="shared" si="1"/>
        <v>38.524906334000001</v>
      </c>
      <c r="F19" s="6">
        <f t="shared" si="2"/>
        <v>4.0130110764583338E-2</v>
      </c>
      <c r="G19">
        <f t="shared" si="3"/>
        <v>3852.4906334000002</v>
      </c>
    </row>
    <row r="20" spans="1:9">
      <c r="A20">
        <f t="shared" si="0"/>
        <v>25</v>
      </c>
      <c r="B20">
        <v>1000</v>
      </c>
      <c r="C20">
        <v>6</v>
      </c>
      <c r="D20">
        <v>9.4026029999999992</v>
      </c>
      <c r="E20">
        <f t="shared" si="1"/>
        <v>36.228229358999997</v>
      </c>
      <c r="F20" s="6">
        <f t="shared" si="2"/>
        <v>3.7737738915624992E-2</v>
      </c>
      <c r="G20">
        <f t="shared" si="3"/>
        <v>3622.8229358999993</v>
      </c>
    </row>
    <row r="21" spans="1:9">
      <c r="A21">
        <f t="shared" si="0"/>
        <v>30</v>
      </c>
      <c r="B21">
        <v>1200</v>
      </c>
      <c r="C21">
        <v>7</v>
      </c>
      <c r="D21">
        <v>12.664370999999999</v>
      </c>
      <c r="E21">
        <f t="shared" si="1"/>
        <v>48.795821462999996</v>
      </c>
      <c r="F21" s="6">
        <f t="shared" si="2"/>
        <v>5.0828980690624997E-2</v>
      </c>
      <c r="G21">
        <f t="shared" si="3"/>
        <v>4879.5821463000002</v>
      </c>
    </row>
    <row r="22" spans="1:9">
      <c r="A22">
        <f t="shared" si="0"/>
        <v>35</v>
      </c>
      <c r="B22">
        <v>1400</v>
      </c>
      <c r="C22">
        <v>8</v>
      </c>
      <c r="D22">
        <v>10.288989000000001</v>
      </c>
      <c r="E22">
        <f t="shared" si="1"/>
        <v>39.643474617000003</v>
      </c>
      <c r="F22" s="6">
        <f t="shared" si="2"/>
        <v>4.1295286059374998E-2</v>
      </c>
      <c r="G22">
        <f t="shared" si="3"/>
        <v>3964.3474617000002</v>
      </c>
    </row>
    <row r="23" spans="1:9">
      <c r="A23">
        <f t="shared" si="0"/>
        <v>40</v>
      </c>
      <c r="B23">
        <v>1600</v>
      </c>
      <c r="C23">
        <v>9</v>
      </c>
      <c r="D23">
        <v>11.189824</v>
      </c>
      <c r="E23">
        <f t="shared" si="1"/>
        <v>43.114391871999999</v>
      </c>
      <c r="F23" s="6">
        <f t="shared" si="2"/>
        <v>4.4910824866666664E-2</v>
      </c>
      <c r="G23">
        <f t="shared" si="3"/>
        <v>4311.4391871999997</v>
      </c>
    </row>
    <row r="24" spans="1:9">
      <c r="A24">
        <f t="shared" si="0"/>
        <v>45</v>
      </c>
      <c r="B24">
        <v>1800</v>
      </c>
      <c r="C24">
        <v>10</v>
      </c>
      <c r="D24">
        <v>9.1006850000000004</v>
      </c>
      <c r="E24">
        <f t="shared" si="1"/>
        <v>35.064939305000003</v>
      </c>
      <c r="F24" s="6">
        <f t="shared" si="2"/>
        <v>3.6525978442708336E-2</v>
      </c>
      <c r="G24">
        <f t="shared" si="3"/>
        <v>3506.4939305000003</v>
      </c>
    </row>
    <row r="25" spans="1:9">
      <c r="A25">
        <f t="shared" si="0"/>
        <v>50</v>
      </c>
      <c r="B25">
        <v>2000</v>
      </c>
      <c r="C25">
        <v>11</v>
      </c>
      <c r="D25">
        <v>12.388355000000001</v>
      </c>
      <c r="E25">
        <f t="shared" si="1"/>
        <v>47.732331815000002</v>
      </c>
      <c r="F25" s="6">
        <f t="shared" si="2"/>
        <v>4.9721178973958328E-2</v>
      </c>
      <c r="G25">
        <f t="shared" si="3"/>
        <v>4773.2331814999989</v>
      </c>
    </row>
    <row r="26" spans="1:9">
      <c r="A26">
        <f t="shared" si="0"/>
        <v>55</v>
      </c>
      <c r="B26">
        <v>2200</v>
      </c>
      <c r="C26">
        <v>12</v>
      </c>
      <c r="D26">
        <v>6.6558780000000004</v>
      </c>
      <c r="E26">
        <f t="shared" si="1"/>
        <v>25.645097934000002</v>
      </c>
      <c r="F26" s="6">
        <f t="shared" si="2"/>
        <v>2.6713643681250003E-2</v>
      </c>
      <c r="G26">
        <f t="shared" si="3"/>
        <v>2564.5097934</v>
      </c>
      <c r="H26" s="2"/>
      <c r="I26" s="2"/>
    </row>
    <row r="27" spans="1:9">
      <c r="A27">
        <f t="shared" si="0"/>
        <v>60</v>
      </c>
      <c r="B27">
        <v>2400</v>
      </c>
      <c r="C27">
        <v>13</v>
      </c>
      <c r="D27">
        <v>9.8203110000000002</v>
      </c>
      <c r="E27">
        <f t="shared" si="1"/>
        <v>37.837658283000003</v>
      </c>
      <c r="F27" s="6">
        <f t="shared" si="2"/>
        <v>3.9414227378125007E-2</v>
      </c>
      <c r="G27">
        <f t="shared" si="3"/>
        <v>3783.765828300001</v>
      </c>
      <c r="H27" s="2"/>
      <c r="I27" s="2"/>
    </row>
    <row r="28" spans="1:9">
      <c r="A28">
        <f t="shared" si="0"/>
        <v>65</v>
      </c>
      <c r="B28">
        <v>2600</v>
      </c>
      <c r="C28">
        <v>14</v>
      </c>
      <c r="D28">
        <v>13.310245999999999</v>
      </c>
      <c r="E28">
        <f t="shared" si="1"/>
        <v>51.284377837999997</v>
      </c>
      <c r="F28" s="6">
        <f t="shared" si="2"/>
        <v>5.3421226914583335E-2</v>
      </c>
      <c r="G28">
        <f t="shared" si="3"/>
        <v>5128.4377838</v>
      </c>
    </row>
    <row r="29" spans="1:9">
      <c r="A29">
        <f t="shared" si="0"/>
        <v>70</v>
      </c>
      <c r="B29">
        <v>2800</v>
      </c>
      <c r="C29">
        <v>15</v>
      </c>
      <c r="D29">
        <v>9.0969879999999996</v>
      </c>
      <c r="E29">
        <f t="shared" si="1"/>
        <v>35.050694763999999</v>
      </c>
      <c r="F29" s="6">
        <f t="shared" si="2"/>
        <v>3.6511140379166668E-2</v>
      </c>
      <c r="G29">
        <f t="shared" si="3"/>
        <v>3505.0694764</v>
      </c>
    </row>
    <row r="30" spans="1:9">
      <c r="A30">
        <f t="shared" si="0"/>
        <v>75</v>
      </c>
      <c r="B30">
        <v>3000</v>
      </c>
      <c r="C30">
        <v>16</v>
      </c>
      <c r="D30">
        <v>13.583640000000001</v>
      </c>
      <c r="E30">
        <f t="shared" si="1"/>
        <v>52.337764920000005</v>
      </c>
      <c r="F30" s="6">
        <f t="shared" si="2"/>
        <v>5.4518505125000012E-2</v>
      </c>
      <c r="G30">
        <f t="shared" si="3"/>
        <v>5233.7764920000018</v>
      </c>
    </row>
    <row r="31" spans="1:9">
      <c r="A31">
        <f t="shared" si="0"/>
        <v>80</v>
      </c>
      <c r="B31">
        <v>3200</v>
      </c>
      <c r="C31">
        <v>17</v>
      </c>
      <c r="D31">
        <v>12.246968000000001</v>
      </c>
      <c r="E31">
        <f t="shared" si="1"/>
        <v>47.187567704000003</v>
      </c>
      <c r="F31" s="6">
        <f t="shared" si="2"/>
        <v>4.9153716358333335E-2</v>
      </c>
      <c r="G31">
        <f t="shared" si="3"/>
        <v>4718.7567704000003</v>
      </c>
    </row>
    <row r="32" spans="1:9">
      <c r="A32">
        <f t="shared" si="0"/>
        <v>85</v>
      </c>
      <c r="B32">
        <v>3400</v>
      </c>
      <c r="C32">
        <v>18</v>
      </c>
      <c r="D32">
        <v>8.1809809999999992</v>
      </c>
      <c r="E32">
        <f t="shared" si="1"/>
        <v>31.521319793</v>
      </c>
      <c r="F32" s="6">
        <f t="shared" si="2"/>
        <v>3.2834708117708333E-2</v>
      </c>
      <c r="G32">
        <f t="shared" si="3"/>
        <v>3152.1319792999998</v>
      </c>
    </row>
    <row r="33" spans="1:7">
      <c r="A33">
        <f t="shared" si="0"/>
        <v>90</v>
      </c>
      <c r="B33">
        <v>3600</v>
      </c>
      <c r="C33">
        <v>19</v>
      </c>
      <c r="D33">
        <v>11.937810000000001</v>
      </c>
      <c r="E33">
        <f t="shared" si="1"/>
        <v>45.996381930000005</v>
      </c>
      <c r="F33" s="6">
        <f t="shared" si="2"/>
        <v>4.791289784375001E-2</v>
      </c>
      <c r="G33">
        <f t="shared" si="3"/>
        <v>4599.6381930000007</v>
      </c>
    </row>
    <row r="34" spans="1:7">
      <c r="A34">
        <f t="shared" si="0"/>
        <v>95</v>
      </c>
      <c r="B34">
        <v>3800</v>
      </c>
      <c r="C34">
        <v>20</v>
      </c>
      <c r="D34">
        <v>9.1802349999999997</v>
      </c>
      <c r="E34">
        <f t="shared" si="1"/>
        <v>35.371445455</v>
      </c>
      <c r="F34" s="6">
        <f t="shared" si="2"/>
        <v>3.6845255682291668E-2</v>
      </c>
      <c r="G34">
        <f t="shared" si="3"/>
        <v>3537.1445455000003</v>
      </c>
    </row>
    <row r="35" spans="1:7">
      <c r="A35">
        <f t="shared" si="0"/>
        <v>100</v>
      </c>
      <c r="B35">
        <v>4000</v>
      </c>
      <c r="C35">
        <v>21</v>
      </c>
      <c r="D35">
        <v>6.1987410000000001</v>
      </c>
      <c r="E35">
        <f t="shared" si="1"/>
        <v>23.883749073000001</v>
      </c>
      <c r="F35" s="6">
        <f t="shared" si="2"/>
        <v>2.4878905284374999E-2</v>
      </c>
      <c r="G35">
        <f t="shared" si="3"/>
        <v>2388.3749072999999</v>
      </c>
    </row>
    <row r="43" spans="1:7">
      <c r="D43" t="s">
        <v>4</v>
      </c>
      <c r="G43" s="2"/>
    </row>
    <row r="44" spans="1:7">
      <c r="A44" t="s">
        <v>10</v>
      </c>
      <c r="B44" t="s">
        <v>18</v>
      </c>
      <c r="C44" t="s">
        <v>17</v>
      </c>
      <c r="D44" t="s">
        <v>0</v>
      </c>
      <c r="E44" t="s">
        <v>3</v>
      </c>
      <c r="F44" s="6" t="s">
        <v>16</v>
      </c>
    </row>
    <row r="45" spans="1:7">
      <c r="A45">
        <f>B45/40</f>
        <v>0</v>
      </c>
      <c r="B45">
        <v>0</v>
      </c>
      <c r="C45">
        <v>0</v>
      </c>
      <c r="D45">
        <v>0</v>
      </c>
      <c r="E45">
        <f>2.3658*D45</f>
        <v>0</v>
      </c>
      <c r="F45" s="6">
        <f>E45*100/35.5/1000</f>
        <v>0</v>
      </c>
      <c r="G45">
        <f>F45*35.5</f>
        <v>0</v>
      </c>
    </row>
    <row r="46" spans="1:7">
      <c r="A46">
        <f t="shared" ref="A46:A66" si="4">B46/40</f>
        <v>0</v>
      </c>
      <c r="B46">
        <v>0</v>
      </c>
      <c r="C46">
        <v>1</v>
      </c>
      <c r="D46">
        <v>3.6972480000000001</v>
      </c>
      <c r="E46">
        <f t="shared" ref="E46:E66" si="5">2.3653*D46</f>
        <v>8.7451006943999996</v>
      </c>
      <c r="F46" s="6">
        <f t="shared" ref="F46:F66" si="6">E46*100/35.5/1000</f>
        <v>2.463408646309859E-2</v>
      </c>
      <c r="G46">
        <f t="shared" ref="G46:G55" si="7">F46*35.5*1000</f>
        <v>874.51006943999994</v>
      </c>
    </row>
    <row r="47" spans="1:7">
      <c r="A47">
        <f t="shared" si="4"/>
        <v>5</v>
      </c>
      <c r="B47">
        <v>200</v>
      </c>
      <c r="C47">
        <v>2</v>
      </c>
      <c r="D47">
        <v>9.5115280000000002</v>
      </c>
      <c r="E47">
        <f t="shared" si="5"/>
        <v>22.497617178399999</v>
      </c>
      <c r="F47" s="6">
        <f t="shared" si="6"/>
        <v>6.3373569516619724E-2</v>
      </c>
      <c r="G47">
        <f t="shared" si="7"/>
        <v>2249.7617178400001</v>
      </c>
    </row>
    <row r="48" spans="1:7">
      <c r="A48">
        <f t="shared" si="4"/>
        <v>10</v>
      </c>
      <c r="B48">
        <v>400</v>
      </c>
      <c r="C48">
        <v>3</v>
      </c>
      <c r="D48">
        <v>2.7781549999999999</v>
      </c>
      <c r="E48">
        <f t="shared" si="5"/>
        <v>6.5711700214999995</v>
      </c>
      <c r="F48" s="6">
        <f t="shared" si="6"/>
        <v>1.8510338088732394E-2</v>
      </c>
      <c r="G48">
        <f t="shared" si="7"/>
        <v>657.11700214999996</v>
      </c>
    </row>
    <row r="49" spans="1:7">
      <c r="A49">
        <f t="shared" si="4"/>
        <v>15</v>
      </c>
      <c r="B49">
        <v>600</v>
      </c>
      <c r="C49">
        <v>4</v>
      </c>
      <c r="D49">
        <v>0.66697200000000001</v>
      </c>
      <c r="E49">
        <f t="shared" si="5"/>
        <v>1.5775888715999999</v>
      </c>
      <c r="F49" s="6">
        <f t="shared" si="6"/>
        <v>4.4439123143661975E-3</v>
      </c>
      <c r="G49">
        <f t="shared" si="7"/>
        <v>157.75888716</v>
      </c>
    </row>
    <row r="50" spans="1:7">
      <c r="A50">
        <f t="shared" si="4"/>
        <v>20</v>
      </c>
      <c r="B50">
        <v>800</v>
      </c>
      <c r="C50">
        <v>5</v>
      </c>
      <c r="D50">
        <v>0.19182099999999999</v>
      </c>
      <c r="E50">
        <f t="shared" si="5"/>
        <v>0.45371421129999995</v>
      </c>
      <c r="F50" s="6">
        <f t="shared" si="6"/>
        <v>1.2780682008450704E-3</v>
      </c>
      <c r="G50">
        <f t="shared" si="7"/>
        <v>45.371421130000002</v>
      </c>
    </row>
    <row r="51" spans="1:7">
      <c r="A51">
        <f t="shared" si="4"/>
        <v>25</v>
      </c>
      <c r="B51">
        <v>1000</v>
      </c>
      <c r="C51">
        <v>6</v>
      </c>
      <c r="D51">
        <v>8.7328000000000003E-2</v>
      </c>
      <c r="E51">
        <f t="shared" si="5"/>
        <v>0.20655691840000001</v>
      </c>
      <c r="F51" s="6">
        <f t="shared" si="6"/>
        <v>5.8185047436619733E-4</v>
      </c>
      <c r="G51">
        <f t="shared" si="7"/>
        <v>20.655691840000003</v>
      </c>
    </row>
    <row r="52" spans="1:7">
      <c r="A52">
        <f t="shared" si="4"/>
        <v>30</v>
      </c>
      <c r="B52">
        <v>1200</v>
      </c>
      <c r="C52">
        <v>7</v>
      </c>
      <c r="D52">
        <v>6.3576999999999995E-2</v>
      </c>
      <c r="E52">
        <f t="shared" si="5"/>
        <v>0.1503786781</v>
      </c>
      <c r="F52" s="6">
        <f t="shared" si="6"/>
        <v>4.2360191014084508E-4</v>
      </c>
      <c r="G52">
        <f t="shared" si="7"/>
        <v>15.037867810000002</v>
      </c>
    </row>
    <row r="53" spans="1:7">
      <c r="A53">
        <f t="shared" si="4"/>
        <v>35</v>
      </c>
      <c r="B53">
        <v>1400</v>
      </c>
      <c r="C53">
        <v>8</v>
      </c>
      <c r="D53">
        <v>3.7272E-2</v>
      </c>
      <c r="E53">
        <f t="shared" si="5"/>
        <v>8.8159461600000003E-2</v>
      </c>
      <c r="F53" s="6">
        <f t="shared" si="6"/>
        <v>2.483365115492958E-4</v>
      </c>
      <c r="G53">
        <f t="shared" si="7"/>
        <v>8.8159461600000011</v>
      </c>
    </row>
    <row r="54" spans="1:7">
      <c r="A54">
        <f t="shared" si="4"/>
        <v>40</v>
      </c>
      <c r="B54">
        <v>1600</v>
      </c>
      <c r="C54">
        <v>9</v>
      </c>
      <c r="D54">
        <v>2.9916000000000002E-2</v>
      </c>
      <c r="E54">
        <f t="shared" si="5"/>
        <v>7.0760314800000002E-2</v>
      </c>
      <c r="F54" s="6">
        <f t="shared" si="6"/>
        <v>1.993248304225352E-4</v>
      </c>
      <c r="G54">
        <f t="shared" si="7"/>
        <v>7.0760314800000002</v>
      </c>
    </row>
    <row r="55" spans="1:7">
      <c r="A55">
        <f t="shared" si="4"/>
        <v>45</v>
      </c>
      <c r="B55">
        <v>1800</v>
      </c>
      <c r="C55">
        <v>10</v>
      </c>
      <c r="D55">
        <v>2.1526E-2</v>
      </c>
      <c r="E55">
        <f t="shared" si="5"/>
        <v>5.0915447799999999E-2</v>
      </c>
      <c r="F55" s="6">
        <f t="shared" si="6"/>
        <v>1.434237966197183E-4</v>
      </c>
      <c r="G55">
        <f t="shared" si="7"/>
        <v>5.0915447799999995</v>
      </c>
    </row>
    <row r="56" spans="1:7">
      <c r="A56">
        <f t="shared" si="4"/>
        <v>50</v>
      </c>
      <c r="B56">
        <v>2000</v>
      </c>
      <c r="C56">
        <v>11</v>
      </c>
      <c r="D56">
        <v>8.8570999999999997E-2</v>
      </c>
      <c r="E56">
        <f t="shared" si="5"/>
        <v>0.20949698629999999</v>
      </c>
      <c r="F56" s="6">
        <f t="shared" si="6"/>
        <v>5.9013235577464785E-4</v>
      </c>
      <c r="G56">
        <f t="shared" ref="G56:G66" si="8">F56*35.5*1000</f>
        <v>20.94969863</v>
      </c>
    </row>
    <row r="57" spans="1:7">
      <c r="A57">
        <f t="shared" si="4"/>
        <v>55</v>
      </c>
      <c r="B57">
        <v>2200</v>
      </c>
      <c r="C57">
        <v>12</v>
      </c>
      <c r="D57">
        <v>1.4498E-2</v>
      </c>
      <c r="E57">
        <f t="shared" si="5"/>
        <v>3.4292119400000001E-2</v>
      </c>
      <c r="F57" s="6">
        <f t="shared" si="6"/>
        <v>9.6597519436619718E-5</v>
      </c>
      <c r="G57">
        <f t="shared" si="8"/>
        <v>3.4292119400000001</v>
      </c>
    </row>
    <row r="58" spans="1:7">
      <c r="A58">
        <f t="shared" si="4"/>
        <v>60</v>
      </c>
      <c r="B58">
        <v>2400</v>
      </c>
      <c r="C58">
        <v>13</v>
      </c>
      <c r="D58">
        <v>1.4373E-2</v>
      </c>
      <c r="E58">
        <f t="shared" si="5"/>
        <v>3.3996456899999999E-2</v>
      </c>
      <c r="F58" s="6">
        <f t="shared" si="6"/>
        <v>9.5764667323943662E-5</v>
      </c>
      <c r="G58">
        <f t="shared" si="8"/>
        <v>3.3996456899999998</v>
      </c>
    </row>
    <row r="59" spans="1:7">
      <c r="A59">
        <f t="shared" si="4"/>
        <v>65</v>
      </c>
      <c r="B59">
        <v>2600</v>
      </c>
      <c r="C59">
        <v>14</v>
      </c>
      <c r="D59">
        <v>1.6778000000000001E-2</v>
      </c>
      <c r="E59">
        <f t="shared" si="5"/>
        <v>3.9685003400000002E-2</v>
      </c>
      <c r="F59" s="6">
        <f t="shared" si="6"/>
        <v>1.1178874197183099E-4</v>
      </c>
      <c r="G59">
        <f t="shared" si="8"/>
        <v>3.9685003400000003</v>
      </c>
    </row>
    <row r="60" spans="1:7">
      <c r="A60">
        <f t="shared" si="4"/>
        <v>70</v>
      </c>
      <c r="B60">
        <v>2800</v>
      </c>
      <c r="C60">
        <v>15</v>
      </c>
      <c r="D60">
        <v>1.1901999999999999E-2</v>
      </c>
      <c r="E60">
        <f t="shared" si="5"/>
        <v>2.8151800599999999E-2</v>
      </c>
      <c r="F60" s="6">
        <f t="shared" si="6"/>
        <v>7.9300846760563376E-5</v>
      </c>
      <c r="G60">
        <f t="shared" si="8"/>
        <v>2.8151800599999999</v>
      </c>
    </row>
    <row r="61" spans="1:7">
      <c r="A61">
        <f t="shared" si="4"/>
        <v>75</v>
      </c>
      <c r="B61">
        <v>3000</v>
      </c>
      <c r="C61">
        <v>16</v>
      </c>
      <c r="D61">
        <v>1.405E-2</v>
      </c>
      <c r="E61">
        <f t="shared" si="5"/>
        <v>3.3232465000000003E-2</v>
      </c>
      <c r="F61" s="6">
        <f t="shared" si="6"/>
        <v>9.3612577464788739E-5</v>
      </c>
      <c r="G61">
        <f t="shared" si="8"/>
        <v>3.3232465000000002</v>
      </c>
    </row>
    <row r="62" spans="1:7">
      <c r="A62">
        <f t="shared" si="4"/>
        <v>80</v>
      </c>
      <c r="B62">
        <v>3200</v>
      </c>
      <c r="C62">
        <v>17</v>
      </c>
      <c r="D62">
        <v>1.5187000000000001E-2</v>
      </c>
      <c r="E62">
        <f t="shared" si="5"/>
        <v>3.5921811099999999E-2</v>
      </c>
      <c r="F62" s="6">
        <f t="shared" si="6"/>
        <v>1.0118820028169014E-4</v>
      </c>
      <c r="G62">
        <f t="shared" si="8"/>
        <v>3.5921811099999998</v>
      </c>
    </row>
    <row r="63" spans="1:7">
      <c r="A63">
        <f t="shared" si="4"/>
        <v>85</v>
      </c>
      <c r="B63">
        <v>3400</v>
      </c>
      <c r="C63">
        <v>18</v>
      </c>
      <c r="D63">
        <v>1.35E-2</v>
      </c>
      <c r="E63">
        <f t="shared" si="5"/>
        <v>3.1931549999999996E-2</v>
      </c>
      <c r="F63" s="6">
        <f t="shared" si="6"/>
        <v>8.9948028169014064E-5</v>
      </c>
      <c r="G63">
        <f t="shared" si="8"/>
        <v>3.1931549999999991</v>
      </c>
    </row>
    <row r="64" spans="1:7">
      <c r="A64">
        <f t="shared" si="4"/>
        <v>90</v>
      </c>
      <c r="B64">
        <v>3600</v>
      </c>
      <c r="C64">
        <v>19</v>
      </c>
      <c r="D64">
        <v>1.1727E-2</v>
      </c>
      <c r="E64">
        <f t="shared" si="5"/>
        <v>2.7737873099999998E-2</v>
      </c>
      <c r="F64" s="6">
        <f t="shared" si="6"/>
        <v>7.8134853802816907E-5</v>
      </c>
      <c r="G64">
        <f t="shared" si="8"/>
        <v>2.7737873100000003</v>
      </c>
    </row>
    <row r="65" spans="1:7">
      <c r="A65">
        <f t="shared" si="4"/>
        <v>95</v>
      </c>
      <c r="B65">
        <v>3800</v>
      </c>
      <c r="C65">
        <v>20</v>
      </c>
      <c r="D65">
        <v>1.1457999999999999E-2</v>
      </c>
      <c r="E65">
        <f t="shared" si="5"/>
        <v>2.7101607399999998E-2</v>
      </c>
      <c r="F65" s="6">
        <f t="shared" si="6"/>
        <v>7.6342556056338028E-5</v>
      </c>
      <c r="G65">
        <f t="shared" si="8"/>
        <v>2.7101607400000001</v>
      </c>
    </row>
    <row r="66" spans="1:7">
      <c r="A66">
        <f t="shared" si="4"/>
        <v>100</v>
      </c>
      <c r="B66">
        <v>4000</v>
      </c>
      <c r="C66">
        <v>21</v>
      </c>
      <c r="D66">
        <v>0.45524700000000001</v>
      </c>
      <c r="E66">
        <f t="shared" si="5"/>
        <v>1.0767957291000001</v>
      </c>
      <c r="F66" s="6">
        <f t="shared" si="6"/>
        <v>3.0332274059154929E-3</v>
      </c>
      <c r="G66">
        <f t="shared" si="8"/>
        <v>107.67957290999999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E7226-EFCC-48FE-900F-679C15EDA7A2}">
  <dimension ref="A1:J66"/>
  <sheetViews>
    <sheetView topLeftCell="A16" workbookViewId="0">
      <selection activeCell="I34" sqref="I34"/>
    </sheetView>
  </sheetViews>
  <sheetFormatPr defaultRowHeight="14.5"/>
  <cols>
    <col min="4" max="4" width="18.90625" customWidth="1"/>
    <col min="5" max="5" width="15.7265625" customWidth="1"/>
    <col min="6" max="6" width="17.36328125" style="6" customWidth="1"/>
    <col min="8" max="8" width="9.81640625" customWidth="1"/>
    <col min="9" max="9" width="17.453125" customWidth="1"/>
    <col min="12" max="12" width="15.453125" customWidth="1"/>
  </cols>
  <sheetData>
    <row r="1" spans="1:10">
      <c r="A1" t="s">
        <v>19</v>
      </c>
    </row>
    <row r="2" spans="1:10">
      <c r="A2" t="s">
        <v>5</v>
      </c>
      <c r="B2" t="s">
        <v>0</v>
      </c>
      <c r="C2" t="s">
        <v>1</v>
      </c>
      <c r="D2" s="6"/>
      <c r="E2" t="s">
        <v>4</v>
      </c>
      <c r="F2" t="s">
        <v>0</v>
      </c>
      <c r="G2" t="s">
        <v>1</v>
      </c>
    </row>
    <row r="3" spans="1:10">
      <c r="B3" s="4">
        <v>0</v>
      </c>
      <c r="C3">
        <v>0</v>
      </c>
      <c r="D3" s="6"/>
      <c r="F3" s="4">
        <v>0</v>
      </c>
      <c r="G3">
        <v>0</v>
      </c>
    </row>
    <row r="4" spans="1:10">
      <c r="B4" s="3">
        <v>1.2407919999999999</v>
      </c>
      <c r="C4">
        <v>5</v>
      </c>
      <c r="D4" s="6"/>
      <c r="F4" s="3">
        <v>0.31217</v>
      </c>
      <c r="G4">
        <v>1</v>
      </c>
    </row>
    <row r="5" spans="1:10">
      <c r="B5" s="3">
        <v>2.505261</v>
      </c>
      <c r="C5">
        <v>10</v>
      </c>
      <c r="D5" s="6"/>
      <c r="F5" s="3">
        <v>1.744783</v>
      </c>
      <c r="G5">
        <v>5</v>
      </c>
    </row>
    <row r="6" spans="1:10">
      <c r="B6" s="3">
        <v>3.7897180000000001</v>
      </c>
      <c r="C6">
        <v>15</v>
      </c>
      <c r="D6" s="6"/>
      <c r="F6" s="3">
        <v>3.7358039999999999</v>
      </c>
      <c r="G6">
        <v>10</v>
      </c>
    </row>
    <row r="7" spans="1:10">
      <c r="B7" s="3">
        <v>6.5928279999999999</v>
      </c>
      <c r="C7">
        <v>25</v>
      </c>
      <c r="D7" s="6"/>
      <c r="F7" s="3">
        <v>7.9735360000000002</v>
      </c>
      <c r="G7">
        <v>20</v>
      </c>
    </row>
    <row r="8" spans="1:10">
      <c r="B8" s="3"/>
      <c r="D8" s="6"/>
      <c r="F8" s="3">
        <v>42.418332999999997</v>
      </c>
      <c r="G8">
        <v>100</v>
      </c>
    </row>
    <row r="12" spans="1:10">
      <c r="D12" t="s">
        <v>5</v>
      </c>
    </row>
    <row r="13" spans="1:10">
      <c r="A13" t="s">
        <v>10</v>
      </c>
      <c r="B13" t="s">
        <v>18</v>
      </c>
      <c r="C13" t="s">
        <v>17</v>
      </c>
      <c r="D13" t="s">
        <v>0</v>
      </c>
      <c r="E13" t="s">
        <v>3</v>
      </c>
      <c r="F13" s="6" t="s">
        <v>6</v>
      </c>
      <c r="G13" s="1" t="s">
        <v>13</v>
      </c>
      <c r="J13" s="2"/>
    </row>
    <row r="14" spans="1:10">
      <c r="A14">
        <f>B14/40</f>
        <v>0</v>
      </c>
      <c r="B14">
        <v>0</v>
      </c>
      <c r="C14">
        <v>0</v>
      </c>
      <c r="D14">
        <v>13.156955</v>
      </c>
      <c r="E14">
        <f>3.853*D14</f>
        <v>50.693747614999999</v>
      </c>
      <c r="F14" s="6">
        <f>E14*2/96/1000</f>
        <v>1.0561197419791666E-3</v>
      </c>
      <c r="G14">
        <f>F14*96*1000</f>
        <v>101.38749522999998</v>
      </c>
    </row>
    <row r="15" spans="1:10">
      <c r="A15">
        <f t="shared" ref="A15:A35" si="0">B15/40</f>
        <v>0</v>
      </c>
      <c r="B15">
        <v>0</v>
      </c>
      <c r="C15">
        <v>1</v>
      </c>
      <c r="D15">
        <v>1.4024999999999999E-2</v>
      </c>
      <c r="E15">
        <f t="shared" ref="E15:E35" si="1">3.853*D15</f>
        <v>5.4038324999999998E-2</v>
      </c>
      <c r="F15" s="6">
        <f t="shared" ref="F15:F35" si="2">E15*2/96/1000</f>
        <v>1.1257984375E-6</v>
      </c>
      <c r="G15">
        <f t="shared" ref="G15:G35" si="3">F15*96*1000</f>
        <v>0.10807665000000001</v>
      </c>
    </row>
    <row r="16" spans="1:10">
      <c r="A16">
        <f t="shared" si="0"/>
        <v>5</v>
      </c>
      <c r="B16">
        <v>200</v>
      </c>
      <c r="C16">
        <v>2</v>
      </c>
      <c r="D16">
        <v>1.1977E-2</v>
      </c>
      <c r="E16">
        <f t="shared" si="1"/>
        <v>4.6147381000000001E-2</v>
      </c>
      <c r="F16" s="6">
        <f t="shared" si="2"/>
        <v>9.6140377083333339E-7</v>
      </c>
      <c r="G16">
        <f t="shared" si="3"/>
        <v>9.2294762000000002E-2</v>
      </c>
    </row>
    <row r="17" spans="1:9">
      <c r="A17">
        <f t="shared" si="0"/>
        <v>10</v>
      </c>
      <c r="B17">
        <v>400</v>
      </c>
      <c r="C17">
        <v>3</v>
      </c>
      <c r="D17">
        <v>1.3395000000000001E-2</v>
      </c>
      <c r="E17">
        <f t="shared" si="1"/>
        <v>5.1610935000000004E-2</v>
      </c>
      <c r="F17" s="6">
        <f t="shared" si="2"/>
        <v>1.0752278124999999E-6</v>
      </c>
      <c r="G17">
        <f t="shared" si="3"/>
        <v>0.10322186999999998</v>
      </c>
    </row>
    <row r="18" spans="1:9">
      <c r="A18">
        <f t="shared" si="0"/>
        <v>15</v>
      </c>
      <c r="B18">
        <v>600</v>
      </c>
      <c r="C18">
        <v>4</v>
      </c>
      <c r="D18">
        <v>1.4537E-2</v>
      </c>
      <c r="E18">
        <f t="shared" si="1"/>
        <v>5.6011061000000001E-2</v>
      </c>
      <c r="F18" s="6">
        <f t="shared" si="2"/>
        <v>1.1668971041666667E-6</v>
      </c>
      <c r="G18">
        <f t="shared" si="3"/>
        <v>0.112022122</v>
      </c>
    </row>
    <row r="19" spans="1:9">
      <c r="A19">
        <f t="shared" si="0"/>
        <v>20</v>
      </c>
      <c r="B19">
        <v>800</v>
      </c>
      <c r="C19">
        <v>5</v>
      </c>
      <c r="D19">
        <v>1.1611E-2</v>
      </c>
      <c r="E19">
        <f t="shared" si="1"/>
        <v>4.4737183E-2</v>
      </c>
      <c r="F19" s="6">
        <f t="shared" si="2"/>
        <v>9.3202464583333332E-7</v>
      </c>
      <c r="G19">
        <f t="shared" si="3"/>
        <v>8.9474366E-2</v>
      </c>
    </row>
    <row r="20" spans="1:9">
      <c r="A20">
        <f t="shared" si="0"/>
        <v>25</v>
      </c>
      <c r="B20">
        <v>1000</v>
      </c>
      <c r="C20">
        <v>6</v>
      </c>
      <c r="D20">
        <v>1.2565E-2</v>
      </c>
      <c r="E20">
        <f t="shared" si="1"/>
        <v>4.8412944999999999E-2</v>
      </c>
      <c r="F20" s="6">
        <f t="shared" si="2"/>
        <v>1.0086030208333334E-6</v>
      </c>
      <c r="G20">
        <f t="shared" si="3"/>
        <v>9.6825889999999998E-2</v>
      </c>
    </row>
    <row r="21" spans="1:9">
      <c r="A21">
        <f t="shared" si="0"/>
        <v>30</v>
      </c>
      <c r="B21">
        <v>1200</v>
      </c>
      <c r="C21">
        <v>7</v>
      </c>
      <c r="D21">
        <v>1.2999E-2</v>
      </c>
      <c r="E21">
        <f t="shared" si="1"/>
        <v>5.0085147000000003E-2</v>
      </c>
      <c r="F21" s="6">
        <f t="shared" si="2"/>
        <v>1.0434405625E-6</v>
      </c>
      <c r="G21">
        <f t="shared" si="3"/>
        <v>0.10017029400000001</v>
      </c>
    </row>
    <row r="22" spans="1:9">
      <c r="A22">
        <f t="shared" si="0"/>
        <v>35</v>
      </c>
      <c r="B22">
        <v>1400</v>
      </c>
      <c r="C22">
        <v>8</v>
      </c>
      <c r="D22">
        <v>1.1311E-2</v>
      </c>
      <c r="E22">
        <f t="shared" si="1"/>
        <v>4.3581282999999998E-2</v>
      </c>
      <c r="F22" s="6">
        <f t="shared" si="2"/>
        <v>9.0794339583333324E-7</v>
      </c>
      <c r="G22">
        <f t="shared" si="3"/>
        <v>8.7162565999999997E-2</v>
      </c>
    </row>
    <row r="23" spans="1:9">
      <c r="A23">
        <f t="shared" si="0"/>
        <v>40</v>
      </c>
      <c r="B23">
        <v>1600</v>
      </c>
      <c r="C23">
        <v>9</v>
      </c>
      <c r="D23">
        <v>1.1452E-2</v>
      </c>
      <c r="E23">
        <f t="shared" si="1"/>
        <v>4.4124556000000002E-2</v>
      </c>
      <c r="F23" s="6">
        <f t="shared" si="2"/>
        <v>9.1926158333333331E-7</v>
      </c>
      <c r="G23">
        <f t="shared" si="3"/>
        <v>8.8249112000000005E-2</v>
      </c>
    </row>
    <row r="24" spans="1:9">
      <c r="A24">
        <f t="shared" si="0"/>
        <v>45</v>
      </c>
      <c r="B24">
        <v>1800</v>
      </c>
      <c r="C24">
        <v>10</v>
      </c>
      <c r="D24">
        <v>1.3115E-2</v>
      </c>
      <c r="E24">
        <f t="shared" si="1"/>
        <v>5.0532094999999999E-2</v>
      </c>
      <c r="F24" s="6">
        <f t="shared" si="2"/>
        <v>1.0527519791666665E-6</v>
      </c>
      <c r="G24">
        <f t="shared" si="3"/>
        <v>0.10106419</v>
      </c>
    </row>
    <row r="25" spans="1:9">
      <c r="A25">
        <f t="shared" si="0"/>
        <v>50</v>
      </c>
      <c r="B25">
        <v>2000</v>
      </c>
      <c r="C25">
        <v>11</v>
      </c>
      <c r="D25">
        <v>1.1976000000000001E-2</v>
      </c>
      <c r="E25">
        <f t="shared" si="1"/>
        <v>4.6143528000000003E-2</v>
      </c>
      <c r="F25" s="6">
        <f t="shared" si="2"/>
        <v>9.6132350000000013E-7</v>
      </c>
      <c r="G25">
        <f t="shared" si="3"/>
        <v>9.2287056000000006E-2</v>
      </c>
    </row>
    <row r="26" spans="1:9">
      <c r="A26">
        <f t="shared" si="0"/>
        <v>55</v>
      </c>
      <c r="B26">
        <v>2200</v>
      </c>
      <c r="C26">
        <v>12</v>
      </c>
      <c r="D26">
        <v>1.1065999999999999E-2</v>
      </c>
      <c r="E26">
        <f t="shared" si="1"/>
        <v>4.2637297999999997E-2</v>
      </c>
      <c r="F26" s="6">
        <f t="shared" si="2"/>
        <v>8.8827704166666657E-7</v>
      </c>
      <c r="G26">
        <f t="shared" si="3"/>
        <v>8.527459599999998E-2</v>
      </c>
      <c r="H26" s="2"/>
      <c r="I26" s="2"/>
    </row>
    <row r="27" spans="1:9">
      <c r="A27">
        <f t="shared" si="0"/>
        <v>60</v>
      </c>
      <c r="B27">
        <v>2400</v>
      </c>
      <c r="C27">
        <v>13</v>
      </c>
      <c r="D27">
        <v>1.0227E-2</v>
      </c>
      <c r="E27">
        <f t="shared" si="1"/>
        <v>3.9404631000000002E-2</v>
      </c>
      <c r="F27" s="6">
        <f t="shared" si="2"/>
        <v>8.2092981250000004E-7</v>
      </c>
      <c r="G27">
        <f t="shared" si="3"/>
        <v>7.8809262000000005E-2</v>
      </c>
      <c r="H27" s="2"/>
      <c r="I27" s="2"/>
    </row>
    <row r="28" spans="1:9">
      <c r="A28">
        <f t="shared" si="0"/>
        <v>65</v>
      </c>
      <c r="B28">
        <v>2600</v>
      </c>
      <c r="C28">
        <v>14</v>
      </c>
      <c r="D28">
        <v>9.5340000000000008E-3</v>
      </c>
      <c r="E28">
        <f t="shared" si="1"/>
        <v>3.6734502000000002E-2</v>
      </c>
      <c r="F28" s="6">
        <f t="shared" si="2"/>
        <v>7.6530212500000009E-7</v>
      </c>
      <c r="G28">
        <f t="shared" si="3"/>
        <v>7.3469004000000004E-2</v>
      </c>
    </row>
    <row r="29" spans="1:9">
      <c r="A29">
        <f t="shared" si="0"/>
        <v>70</v>
      </c>
      <c r="B29">
        <v>2800</v>
      </c>
      <c r="C29">
        <v>15</v>
      </c>
      <c r="D29">
        <v>8.2019999999999992E-3</v>
      </c>
      <c r="E29">
        <f t="shared" si="1"/>
        <v>3.1602305999999997E-2</v>
      </c>
      <c r="F29" s="6">
        <f t="shared" si="2"/>
        <v>6.583813749999999E-7</v>
      </c>
      <c r="G29">
        <f t="shared" si="3"/>
        <v>6.3204611999999993E-2</v>
      </c>
    </row>
    <row r="30" spans="1:9">
      <c r="A30">
        <f t="shared" si="0"/>
        <v>75</v>
      </c>
      <c r="B30">
        <v>3000</v>
      </c>
      <c r="C30">
        <v>16</v>
      </c>
      <c r="D30">
        <v>8.8400000000000006E-3</v>
      </c>
      <c r="E30">
        <f t="shared" si="1"/>
        <v>3.4060520000000004E-2</v>
      </c>
      <c r="F30" s="6">
        <f t="shared" si="2"/>
        <v>7.0959416666666667E-7</v>
      </c>
      <c r="G30">
        <f t="shared" si="3"/>
        <v>6.8121039999999994E-2</v>
      </c>
    </row>
    <row r="31" spans="1:9">
      <c r="A31">
        <f t="shared" si="0"/>
        <v>80</v>
      </c>
      <c r="B31">
        <v>3200</v>
      </c>
      <c r="C31">
        <v>17</v>
      </c>
      <c r="D31">
        <v>9.9600000000000001E-3</v>
      </c>
      <c r="E31">
        <f t="shared" si="1"/>
        <v>3.8375880000000001E-2</v>
      </c>
      <c r="F31" s="6">
        <f t="shared" si="2"/>
        <v>7.9949749999999996E-7</v>
      </c>
      <c r="G31">
        <f t="shared" si="3"/>
        <v>7.6751760000000002E-2</v>
      </c>
    </row>
    <row r="32" spans="1:9">
      <c r="A32">
        <f t="shared" si="0"/>
        <v>85</v>
      </c>
      <c r="B32">
        <v>3400</v>
      </c>
      <c r="C32">
        <v>18</v>
      </c>
      <c r="D32">
        <v>9.391E-3</v>
      </c>
      <c r="E32">
        <f t="shared" si="1"/>
        <v>3.6183523000000002E-2</v>
      </c>
      <c r="F32" s="6">
        <f t="shared" si="2"/>
        <v>7.538233958333334E-7</v>
      </c>
      <c r="G32">
        <f t="shared" si="3"/>
        <v>7.2367046000000004E-2</v>
      </c>
    </row>
    <row r="33" spans="1:7">
      <c r="A33">
        <f t="shared" si="0"/>
        <v>90</v>
      </c>
      <c r="B33">
        <v>3600</v>
      </c>
      <c r="C33">
        <v>19</v>
      </c>
      <c r="D33">
        <v>9.4439999999999993E-3</v>
      </c>
      <c r="E33">
        <f t="shared" si="1"/>
        <v>3.6387731999999999E-2</v>
      </c>
      <c r="F33" s="6">
        <f t="shared" si="2"/>
        <v>7.5807774999999996E-7</v>
      </c>
      <c r="G33">
        <f t="shared" si="3"/>
        <v>7.2775463999999998E-2</v>
      </c>
    </row>
    <row r="34" spans="1:7">
      <c r="A34">
        <f t="shared" si="0"/>
        <v>95</v>
      </c>
      <c r="B34">
        <v>3800</v>
      </c>
      <c r="C34">
        <v>20</v>
      </c>
      <c r="D34">
        <v>8.5570000000000004E-3</v>
      </c>
      <c r="E34">
        <f t="shared" si="1"/>
        <v>3.2970121000000005E-2</v>
      </c>
      <c r="F34" s="6">
        <f t="shared" si="2"/>
        <v>6.8687752083333338E-7</v>
      </c>
      <c r="G34">
        <f t="shared" si="3"/>
        <v>6.594024200000001E-2</v>
      </c>
    </row>
    <row r="35" spans="1:7">
      <c r="A35">
        <f t="shared" si="0"/>
        <v>100</v>
      </c>
      <c r="B35">
        <v>4000</v>
      </c>
      <c r="C35">
        <v>21</v>
      </c>
      <c r="D35">
        <v>8.6789999999999992E-3</v>
      </c>
      <c r="E35">
        <f t="shared" si="1"/>
        <v>3.3440186999999996E-2</v>
      </c>
      <c r="F35" s="6">
        <f t="shared" si="2"/>
        <v>6.9667056249999993E-7</v>
      </c>
      <c r="G35">
        <f t="shared" si="3"/>
        <v>6.6880373999999992E-2</v>
      </c>
    </row>
    <row r="43" spans="1:7">
      <c r="D43" t="s">
        <v>4</v>
      </c>
      <c r="G43" s="2"/>
    </row>
    <row r="44" spans="1:7">
      <c r="A44" t="s">
        <v>10</v>
      </c>
      <c r="B44" t="s">
        <v>18</v>
      </c>
      <c r="C44" t="s">
        <v>17</v>
      </c>
      <c r="D44" t="s">
        <v>0</v>
      </c>
      <c r="E44" t="s">
        <v>3</v>
      </c>
      <c r="F44" s="6" t="s">
        <v>6</v>
      </c>
    </row>
    <row r="45" spans="1:7">
      <c r="A45">
        <f>B45/40</f>
        <v>0</v>
      </c>
      <c r="B45">
        <v>0</v>
      </c>
      <c r="C45">
        <v>0</v>
      </c>
      <c r="D45">
        <v>0</v>
      </c>
      <c r="E45">
        <f>2.3658*D45</f>
        <v>0</v>
      </c>
      <c r="F45" s="6">
        <f>E45*2/35.5/1000</f>
        <v>0</v>
      </c>
      <c r="G45">
        <f>F45*35.5</f>
        <v>0</v>
      </c>
    </row>
    <row r="46" spans="1:7">
      <c r="A46">
        <f t="shared" ref="A46:A66" si="4">B46/40</f>
        <v>0</v>
      </c>
      <c r="B46">
        <v>0</v>
      </c>
      <c r="C46">
        <v>1</v>
      </c>
      <c r="D46">
        <v>1.8549640000000001</v>
      </c>
      <c r="E46">
        <f t="shared" ref="E46:E66" si="5">2.3653*D46</f>
        <v>4.3875463492</v>
      </c>
      <c r="F46" s="6">
        <f t="shared" ref="F46:F66" si="6">E46*2/35.5/1000</f>
        <v>2.4718570981408449E-4</v>
      </c>
      <c r="G46">
        <f t="shared" ref="G46:G55" si="7">F46*35.5*1000</f>
        <v>8.7750926983999999</v>
      </c>
    </row>
    <row r="47" spans="1:7">
      <c r="A47">
        <f t="shared" si="4"/>
        <v>5</v>
      </c>
      <c r="B47">
        <v>200</v>
      </c>
      <c r="C47">
        <v>2</v>
      </c>
      <c r="D47">
        <v>13.724945</v>
      </c>
      <c r="E47">
        <f t="shared" si="5"/>
        <v>32.463612408499998</v>
      </c>
      <c r="F47" s="6">
        <f t="shared" si="6"/>
        <v>1.8289359103380281E-3</v>
      </c>
      <c r="G47">
        <f t="shared" si="7"/>
        <v>64.927224816999995</v>
      </c>
    </row>
    <row r="48" spans="1:7">
      <c r="A48">
        <f t="shared" si="4"/>
        <v>10</v>
      </c>
      <c r="B48">
        <v>400</v>
      </c>
      <c r="C48">
        <v>3</v>
      </c>
      <c r="D48">
        <v>13.618147</v>
      </c>
      <c r="E48">
        <f t="shared" si="5"/>
        <v>32.211003099099997</v>
      </c>
      <c r="F48" s="6">
        <f t="shared" si="6"/>
        <v>1.8147043999492956E-3</v>
      </c>
      <c r="G48">
        <f t="shared" si="7"/>
        <v>64.422006198199995</v>
      </c>
    </row>
    <row r="49" spans="1:7">
      <c r="A49">
        <f t="shared" si="4"/>
        <v>15</v>
      </c>
      <c r="B49">
        <v>600</v>
      </c>
      <c r="C49">
        <v>4</v>
      </c>
      <c r="D49">
        <v>13.703511000000001</v>
      </c>
      <c r="E49">
        <f t="shared" si="5"/>
        <v>32.412914568300003</v>
      </c>
      <c r="F49" s="6">
        <f t="shared" si="6"/>
        <v>1.8260796939887326E-3</v>
      </c>
      <c r="G49">
        <f t="shared" si="7"/>
        <v>64.825829136600007</v>
      </c>
    </row>
    <row r="50" spans="1:7">
      <c r="A50">
        <f t="shared" si="4"/>
        <v>20</v>
      </c>
      <c r="B50">
        <v>800</v>
      </c>
      <c r="C50">
        <v>5</v>
      </c>
      <c r="D50">
        <v>13.705731999999999</v>
      </c>
      <c r="E50">
        <f t="shared" si="5"/>
        <v>32.4181678996</v>
      </c>
      <c r="F50" s="6">
        <f t="shared" si="6"/>
        <v>1.8263756563154929E-3</v>
      </c>
      <c r="G50">
        <f t="shared" si="7"/>
        <v>64.836335799199986</v>
      </c>
    </row>
    <row r="51" spans="1:7">
      <c r="A51">
        <f t="shared" si="4"/>
        <v>25</v>
      </c>
      <c r="B51">
        <v>1000</v>
      </c>
      <c r="C51">
        <v>6</v>
      </c>
      <c r="D51">
        <v>13.769653999999999</v>
      </c>
      <c r="E51">
        <f t="shared" si="5"/>
        <v>32.569362606199995</v>
      </c>
      <c r="F51" s="6">
        <f t="shared" si="6"/>
        <v>1.8348936679549292E-3</v>
      </c>
      <c r="G51">
        <f t="shared" si="7"/>
        <v>65.138725212399976</v>
      </c>
    </row>
    <row r="52" spans="1:7">
      <c r="A52">
        <f t="shared" si="4"/>
        <v>30</v>
      </c>
      <c r="B52">
        <v>1200</v>
      </c>
      <c r="C52">
        <v>7</v>
      </c>
      <c r="D52">
        <v>13.799963</v>
      </c>
      <c r="E52">
        <f t="shared" si="5"/>
        <v>32.641052483899998</v>
      </c>
      <c r="F52" s="6">
        <f t="shared" si="6"/>
        <v>1.8389325343042254E-3</v>
      </c>
      <c r="G52">
        <f t="shared" si="7"/>
        <v>65.282104967799995</v>
      </c>
    </row>
    <row r="53" spans="1:7">
      <c r="A53">
        <f t="shared" si="4"/>
        <v>35</v>
      </c>
      <c r="B53">
        <v>1400</v>
      </c>
      <c r="C53">
        <v>8</v>
      </c>
      <c r="D53">
        <v>13.920329000000001</v>
      </c>
      <c r="E53">
        <f t="shared" si="5"/>
        <v>32.925754183700001</v>
      </c>
      <c r="F53" s="6">
        <f t="shared" si="6"/>
        <v>1.8549720666873239E-3</v>
      </c>
      <c r="G53">
        <f t="shared" si="7"/>
        <v>65.851508367400001</v>
      </c>
    </row>
    <row r="54" spans="1:7">
      <c r="A54">
        <f t="shared" si="4"/>
        <v>40</v>
      </c>
      <c r="B54">
        <v>1600</v>
      </c>
      <c r="C54">
        <v>9</v>
      </c>
      <c r="D54">
        <v>13.888422</v>
      </c>
      <c r="E54">
        <f t="shared" si="5"/>
        <v>32.850284556600002</v>
      </c>
      <c r="F54" s="6">
        <f t="shared" si="6"/>
        <v>1.8507202567098592E-3</v>
      </c>
      <c r="G54">
        <f t="shared" si="7"/>
        <v>65.700569113200004</v>
      </c>
    </row>
    <row r="55" spans="1:7">
      <c r="A55">
        <f t="shared" si="4"/>
        <v>45</v>
      </c>
      <c r="B55">
        <v>1800</v>
      </c>
      <c r="C55">
        <v>10</v>
      </c>
      <c r="D55">
        <v>13.879481999999999</v>
      </c>
      <c r="E55">
        <f t="shared" si="5"/>
        <v>32.829138774599997</v>
      </c>
      <c r="F55" s="6">
        <f t="shared" si="6"/>
        <v>1.8495289450478872E-3</v>
      </c>
      <c r="G55">
        <f t="shared" si="7"/>
        <v>65.658277549199994</v>
      </c>
    </row>
    <row r="56" spans="1:7">
      <c r="A56">
        <f t="shared" si="4"/>
        <v>50</v>
      </c>
      <c r="B56">
        <v>2000</v>
      </c>
      <c r="C56">
        <v>11</v>
      </c>
      <c r="D56">
        <v>13.915732999999999</v>
      </c>
      <c r="E56">
        <f t="shared" si="5"/>
        <v>32.914883264899998</v>
      </c>
      <c r="F56" s="6">
        <f t="shared" si="6"/>
        <v>1.8543596205577463E-3</v>
      </c>
      <c r="G56">
        <f t="shared" ref="G56:G66" si="8">F56*35.5*1000</f>
        <v>65.829766529799997</v>
      </c>
    </row>
    <row r="57" spans="1:7">
      <c r="A57">
        <f t="shared" si="4"/>
        <v>55</v>
      </c>
      <c r="B57">
        <v>2200</v>
      </c>
      <c r="C57">
        <v>12</v>
      </c>
      <c r="D57">
        <v>13.920529999999999</v>
      </c>
      <c r="E57">
        <f t="shared" si="5"/>
        <v>32.926229608999996</v>
      </c>
      <c r="F57" s="6">
        <f t="shared" si="6"/>
        <v>1.8549988512112673E-3</v>
      </c>
      <c r="G57">
        <f t="shared" si="8"/>
        <v>65.852459217999993</v>
      </c>
    </row>
    <row r="58" spans="1:7">
      <c r="A58">
        <f t="shared" si="4"/>
        <v>60</v>
      </c>
      <c r="B58">
        <v>2400</v>
      </c>
      <c r="C58">
        <v>13</v>
      </c>
      <c r="D58">
        <v>13.950198</v>
      </c>
      <c r="E58">
        <f t="shared" si="5"/>
        <v>32.996403329400003</v>
      </c>
      <c r="F58" s="6">
        <f t="shared" si="6"/>
        <v>1.8589523002478876E-3</v>
      </c>
      <c r="G58">
        <f t="shared" si="8"/>
        <v>65.992806658800021</v>
      </c>
    </row>
    <row r="59" spans="1:7">
      <c r="A59">
        <f t="shared" si="4"/>
        <v>65</v>
      </c>
      <c r="B59">
        <v>2600</v>
      </c>
      <c r="C59">
        <v>14</v>
      </c>
      <c r="D59">
        <v>13.968051000000001</v>
      </c>
      <c r="E59">
        <f t="shared" si="5"/>
        <v>33.038631030300003</v>
      </c>
      <c r="F59" s="6">
        <f t="shared" si="6"/>
        <v>1.8613313256507045E-3</v>
      </c>
      <c r="G59">
        <f t="shared" si="8"/>
        <v>66.077262060600006</v>
      </c>
    </row>
    <row r="60" spans="1:7">
      <c r="A60">
        <f t="shared" si="4"/>
        <v>70</v>
      </c>
      <c r="B60">
        <v>2800</v>
      </c>
      <c r="C60">
        <v>15</v>
      </c>
      <c r="D60" s="2">
        <v>13.998141</v>
      </c>
      <c r="E60">
        <f t="shared" si="5"/>
        <v>33.109802907300001</v>
      </c>
      <c r="F60" s="6">
        <f t="shared" si="6"/>
        <v>1.8653410088619719E-3</v>
      </c>
      <c r="G60">
        <f t="shared" si="8"/>
        <v>66.219605814600001</v>
      </c>
    </row>
    <row r="61" spans="1:7">
      <c r="A61">
        <f t="shared" si="4"/>
        <v>75</v>
      </c>
      <c r="B61">
        <v>3000</v>
      </c>
      <c r="C61">
        <v>16</v>
      </c>
      <c r="D61">
        <v>14.04434</v>
      </c>
      <c r="E61">
        <f t="shared" si="5"/>
        <v>33.219077401999996</v>
      </c>
      <c r="F61" s="6">
        <f t="shared" si="6"/>
        <v>1.871497318422535E-3</v>
      </c>
      <c r="G61">
        <f t="shared" si="8"/>
        <v>66.438154803999993</v>
      </c>
    </row>
    <row r="62" spans="1:7">
      <c r="A62">
        <f t="shared" si="4"/>
        <v>80</v>
      </c>
      <c r="B62">
        <v>3200</v>
      </c>
      <c r="C62">
        <v>17</v>
      </c>
      <c r="D62">
        <v>14.003221999999999</v>
      </c>
      <c r="E62">
        <f t="shared" si="5"/>
        <v>33.1218209966</v>
      </c>
      <c r="F62" s="6">
        <f t="shared" si="6"/>
        <v>1.8660180843154931E-3</v>
      </c>
      <c r="G62">
        <f t="shared" si="8"/>
        <v>66.243641993200001</v>
      </c>
    </row>
    <row r="63" spans="1:7">
      <c r="A63">
        <f t="shared" si="4"/>
        <v>85</v>
      </c>
      <c r="B63">
        <v>3400</v>
      </c>
      <c r="C63">
        <v>18</v>
      </c>
      <c r="D63">
        <v>14.140280000000001</v>
      </c>
      <c r="E63">
        <f t="shared" si="5"/>
        <v>33.446004284000004</v>
      </c>
      <c r="F63" s="6">
        <f t="shared" si="6"/>
        <v>1.8842819314929579E-3</v>
      </c>
      <c r="G63">
        <f t="shared" si="8"/>
        <v>66.892008568000008</v>
      </c>
    </row>
    <row r="64" spans="1:7">
      <c r="A64">
        <f t="shared" si="4"/>
        <v>90</v>
      </c>
      <c r="B64">
        <v>3600</v>
      </c>
      <c r="C64">
        <v>19</v>
      </c>
      <c r="D64">
        <v>14.063694</v>
      </c>
      <c r="E64">
        <f t="shared" si="5"/>
        <v>33.2648554182</v>
      </c>
      <c r="F64" s="6">
        <f t="shared" si="6"/>
        <v>1.8740763615887324E-3</v>
      </c>
      <c r="G64">
        <f t="shared" si="8"/>
        <v>66.5297108364</v>
      </c>
    </row>
    <row r="65" spans="1:7">
      <c r="A65">
        <f t="shared" si="4"/>
        <v>95</v>
      </c>
      <c r="B65">
        <v>3800</v>
      </c>
      <c r="C65">
        <v>20</v>
      </c>
      <c r="D65">
        <v>14.052626</v>
      </c>
      <c r="E65">
        <f t="shared" si="5"/>
        <v>33.238676277799996</v>
      </c>
      <c r="F65" s="6">
        <f t="shared" si="6"/>
        <v>1.8726014804394365E-3</v>
      </c>
      <c r="G65">
        <f t="shared" si="8"/>
        <v>66.477352555600007</v>
      </c>
    </row>
    <row r="66" spans="1:7">
      <c r="A66">
        <f t="shared" si="4"/>
        <v>100</v>
      </c>
      <c r="B66">
        <v>4000</v>
      </c>
      <c r="C66">
        <v>21</v>
      </c>
      <c r="D66">
        <v>13.892462</v>
      </c>
      <c r="E66">
        <f t="shared" si="5"/>
        <v>32.859840368599997</v>
      </c>
      <c r="F66" s="6">
        <f t="shared" si="6"/>
        <v>1.8512586123154927E-3</v>
      </c>
      <c r="G66">
        <f t="shared" si="8"/>
        <v>65.719680737199994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51BE7-739A-429F-BBB8-2E667AAF9CE2}">
  <dimension ref="A1:J66"/>
  <sheetViews>
    <sheetView topLeftCell="A31" workbookViewId="0">
      <selection activeCell="I31" sqref="I31"/>
    </sheetView>
  </sheetViews>
  <sheetFormatPr defaultRowHeight="14.5"/>
  <cols>
    <col min="4" max="4" width="18.90625" customWidth="1"/>
    <col min="5" max="5" width="15.7265625" customWidth="1"/>
    <col min="6" max="6" width="17.36328125" style="6" customWidth="1"/>
    <col min="7" max="7" width="13.453125" customWidth="1"/>
    <col min="8" max="8" width="14.1796875" customWidth="1"/>
    <col min="9" max="9" width="17.453125" customWidth="1"/>
    <col min="12" max="12" width="15.453125" customWidth="1"/>
  </cols>
  <sheetData>
    <row r="1" spans="1:10">
      <c r="A1" t="s">
        <v>23</v>
      </c>
      <c r="H1" t="s">
        <v>20</v>
      </c>
      <c r="I1" t="s">
        <v>21</v>
      </c>
    </row>
    <row r="2" spans="1:10">
      <c r="A2" t="s">
        <v>5</v>
      </c>
      <c r="B2" t="s">
        <v>0</v>
      </c>
      <c r="C2" t="s">
        <v>1</v>
      </c>
      <c r="D2" s="6"/>
      <c r="E2" t="s">
        <v>4</v>
      </c>
      <c r="F2" t="s">
        <v>0</v>
      </c>
      <c r="G2" t="s">
        <v>1</v>
      </c>
      <c r="H2">
        <v>0.15063599999999999</v>
      </c>
      <c r="I2">
        <v>8.6879999999999995E-3</v>
      </c>
    </row>
    <row r="3" spans="1:10">
      <c r="B3" s="4">
        <v>0</v>
      </c>
      <c r="C3">
        <v>0</v>
      </c>
      <c r="D3" s="6"/>
      <c r="F3" s="4">
        <v>0</v>
      </c>
      <c r="G3">
        <v>0</v>
      </c>
    </row>
    <row r="4" spans="1:10">
      <c r="B4" s="4">
        <f>1.306234-$H$2</f>
        <v>1.1555979999999999</v>
      </c>
      <c r="C4">
        <v>5</v>
      </c>
      <c r="D4" s="6"/>
      <c r="F4" s="3">
        <f>0.322861-$I$2</f>
        <v>0.31417300000000004</v>
      </c>
      <c r="G4">
        <v>1</v>
      </c>
    </row>
    <row r="5" spans="1:10">
      <c r="B5" s="4">
        <f>2.593779-$H$2</f>
        <v>2.4431430000000001</v>
      </c>
      <c r="C5">
        <v>10</v>
      </c>
      <c r="D5" s="6"/>
      <c r="F5" s="3">
        <f>1.795886-$I$2</f>
        <v>1.7871980000000001</v>
      </c>
      <c r="G5">
        <v>5</v>
      </c>
    </row>
    <row r="6" spans="1:10">
      <c r="B6" s="4">
        <f>3.978358-$H$2</f>
        <v>3.8277220000000001</v>
      </c>
      <c r="C6">
        <v>15</v>
      </c>
      <c r="D6" s="6"/>
      <c r="F6" s="3">
        <f>3.846018-$I$2</f>
        <v>3.8373300000000001</v>
      </c>
      <c r="G6">
        <v>10</v>
      </c>
    </row>
    <row r="7" spans="1:10">
      <c r="B7" s="4">
        <f>6.887454-$H$2</f>
        <v>6.7368179999999995</v>
      </c>
      <c r="C7">
        <v>25</v>
      </c>
      <c r="D7" s="6"/>
      <c r="F7" s="3">
        <f>8.117028-$I$2</f>
        <v>8.1083400000000001</v>
      </c>
      <c r="G7">
        <v>20</v>
      </c>
    </row>
    <row r="8" spans="1:10">
      <c r="B8" s="3"/>
      <c r="D8" s="6"/>
      <c r="F8" s="3">
        <f>43.009746-$I$2</f>
        <v>43.001058</v>
      </c>
      <c r="G8">
        <v>100</v>
      </c>
    </row>
    <row r="12" spans="1:10">
      <c r="D12" t="s">
        <v>5</v>
      </c>
    </row>
    <row r="13" spans="1:10">
      <c r="A13" t="s">
        <v>10</v>
      </c>
      <c r="B13" t="s">
        <v>18</v>
      </c>
      <c r="C13" t="s">
        <v>17</v>
      </c>
      <c r="D13" t="s">
        <v>0</v>
      </c>
      <c r="E13" t="s">
        <v>22</v>
      </c>
      <c r="F13" t="s">
        <v>3</v>
      </c>
      <c r="G13" s="6" t="s">
        <v>25</v>
      </c>
      <c r="H13" s="1" t="s">
        <v>13</v>
      </c>
      <c r="J13" s="2"/>
    </row>
    <row r="14" spans="1:10">
      <c r="A14">
        <f>B14/40</f>
        <v>0</v>
      </c>
      <c r="B14">
        <v>0</v>
      </c>
      <c r="C14">
        <v>0</v>
      </c>
      <c r="D14">
        <v>0</v>
      </c>
      <c r="E14">
        <f>D14-$H$2</f>
        <v>-0.15063599999999999</v>
      </c>
      <c r="F14">
        <f>3.8023*D14</f>
        <v>0</v>
      </c>
      <c r="G14" s="6">
        <f>F14*20/96/1000</f>
        <v>0</v>
      </c>
      <c r="H14">
        <f>G14*96*1000</f>
        <v>0</v>
      </c>
    </row>
    <row r="15" spans="1:10">
      <c r="A15">
        <f t="shared" ref="A15:A35" si="0">B15/40</f>
        <v>0</v>
      </c>
      <c r="B15">
        <v>0</v>
      </c>
      <c r="C15">
        <v>1</v>
      </c>
      <c r="D15">
        <v>135.145578</v>
      </c>
      <c r="E15">
        <f t="shared" ref="E15:E35" si="1">D15-$H$2</f>
        <v>134.99494200000001</v>
      </c>
      <c r="F15">
        <f t="shared" ref="F15:F35" si="2">3.8023*D15</f>
        <v>513.86403122939998</v>
      </c>
      <c r="G15" s="6">
        <f>F15*10/96/1000</f>
        <v>5.3527503253062499E-2</v>
      </c>
      <c r="H15">
        <f t="shared" ref="H15:H35" si="3">G15*96*1000</f>
        <v>5138.6403122940001</v>
      </c>
    </row>
    <row r="16" spans="1:10">
      <c r="A16">
        <f t="shared" si="0"/>
        <v>5</v>
      </c>
      <c r="B16">
        <v>200</v>
      </c>
      <c r="C16">
        <v>2</v>
      </c>
      <c r="D16">
        <v>39.448306000000002</v>
      </c>
      <c r="E16">
        <f t="shared" si="1"/>
        <v>39.297670000000004</v>
      </c>
      <c r="F16">
        <f t="shared" si="2"/>
        <v>149.99429390380001</v>
      </c>
      <c r="G16" s="6">
        <f t="shared" ref="G16:G35" si="4">F16*10/96/1000</f>
        <v>1.5624405614979167E-2</v>
      </c>
      <c r="H16">
        <f t="shared" si="3"/>
        <v>1499.9429390380001</v>
      </c>
    </row>
    <row r="17" spans="1:9">
      <c r="A17">
        <f t="shared" si="0"/>
        <v>10</v>
      </c>
      <c r="B17">
        <v>400</v>
      </c>
      <c r="C17">
        <v>3</v>
      </c>
      <c r="D17">
        <v>39.097996000000002</v>
      </c>
      <c r="E17">
        <f t="shared" si="1"/>
        <v>38.947360000000003</v>
      </c>
      <c r="F17">
        <f t="shared" si="2"/>
        <v>148.66231019079999</v>
      </c>
      <c r="G17" s="6">
        <f t="shared" si="4"/>
        <v>1.5485657311541666E-2</v>
      </c>
      <c r="H17">
        <f t="shared" si="3"/>
        <v>1486.6231019079999</v>
      </c>
    </row>
    <row r="18" spans="1:9">
      <c r="A18">
        <f t="shared" si="0"/>
        <v>15</v>
      </c>
      <c r="B18">
        <v>600</v>
      </c>
      <c r="C18">
        <v>4</v>
      </c>
      <c r="D18">
        <v>35.389997000000001</v>
      </c>
      <c r="E18">
        <f t="shared" si="1"/>
        <v>35.239361000000002</v>
      </c>
      <c r="F18">
        <f t="shared" si="2"/>
        <v>134.56338559310001</v>
      </c>
      <c r="G18" s="6">
        <f t="shared" si="4"/>
        <v>1.4017019332614586E-2</v>
      </c>
      <c r="H18">
        <f t="shared" si="3"/>
        <v>1345.6338559310002</v>
      </c>
    </row>
    <row r="19" spans="1:9">
      <c r="A19">
        <f t="shared" si="0"/>
        <v>20</v>
      </c>
      <c r="B19">
        <v>800</v>
      </c>
      <c r="C19">
        <v>5</v>
      </c>
      <c r="D19">
        <v>29.127827</v>
      </c>
      <c r="E19">
        <f t="shared" si="1"/>
        <v>28.977191000000001</v>
      </c>
      <c r="F19">
        <f t="shared" si="2"/>
        <v>110.7527366021</v>
      </c>
      <c r="G19" s="6">
        <f t="shared" si="4"/>
        <v>1.1536743396052084E-2</v>
      </c>
      <c r="H19">
        <f t="shared" si="3"/>
        <v>1107.527366021</v>
      </c>
    </row>
    <row r="20" spans="1:9">
      <c r="A20">
        <f t="shared" si="0"/>
        <v>25</v>
      </c>
      <c r="B20">
        <v>1000</v>
      </c>
      <c r="C20">
        <v>6</v>
      </c>
      <c r="D20">
        <v>23.226824000000001</v>
      </c>
      <c r="E20">
        <f t="shared" si="1"/>
        <v>23.076188000000002</v>
      </c>
      <c r="F20">
        <f t="shared" si="2"/>
        <v>88.315352895199993</v>
      </c>
      <c r="G20" s="6">
        <f t="shared" si="4"/>
        <v>9.1995159265833328E-3</v>
      </c>
      <c r="H20">
        <f t="shared" si="3"/>
        <v>883.15352895199999</v>
      </c>
    </row>
    <row r="21" spans="1:9">
      <c r="A21">
        <f t="shared" si="0"/>
        <v>30</v>
      </c>
      <c r="B21">
        <v>1200</v>
      </c>
      <c r="C21">
        <v>7</v>
      </c>
      <c r="D21">
        <v>18.742106</v>
      </c>
      <c r="E21">
        <f t="shared" si="1"/>
        <v>18.591470000000001</v>
      </c>
      <c r="F21">
        <f t="shared" si="2"/>
        <v>71.263109643799993</v>
      </c>
      <c r="G21" s="6">
        <f t="shared" si="4"/>
        <v>7.4232405878958329E-3</v>
      </c>
      <c r="H21">
        <f t="shared" si="3"/>
        <v>712.63109643799999</v>
      </c>
    </row>
    <row r="22" spans="1:9">
      <c r="A22">
        <f t="shared" si="0"/>
        <v>35</v>
      </c>
      <c r="B22">
        <v>1400</v>
      </c>
      <c r="C22">
        <v>8</v>
      </c>
      <c r="D22">
        <v>14.831481999999999</v>
      </c>
      <c r="E22">
        <f t="shared" si="1"/>
        <v>14.680845999999999</v>
      </c>
      <c r="F22">
        <f t="shared" si="2"/>
        <v>56.393744008599995</v>
      </c>
      <c r="G22" s="6">
        <f t="shared" si="4"/>
        <v>5.8743483342291658E-3</v>
      </c>
      <c r="H22">
        <f t="shared" si="3"/>
        <v>563.93744008599992</v>
      </c>
    </row>
    <row r="23" spans="1:9">
      <c r="A23">
        <f t="shared" si="0"/>
        <v>40</v>
      </c>
      <c r="B23">
        <v>1600</v>
      </c>
      <c r="C23">
        <v>9</v>
      </c>
      <c r="D23">
        <v>12.587289</v>
      </c>
      <c r="E23">
        <f t="shared" si="1"/>
        <v>12.436653</v>
      </c>
      <c r="F23">
        <f t="shared" si="2"/>
        <v>47.860648964699998</v>
      </c>
      <c r="G23" s="6">
        <f t="shared" si="4"/>
        <v>4.9854842671562495E-3</v>
      </c>
      <c r="H23">
        <f t="shared" si="3"/>
        <v>478.60648964699993</v>
      </c>
    </row>
    <row r="24" spans="1:9">
      <c r="A24">
        <f t="shared" si="0"/>
        <v>45</v>
      </c>
      <c r="B24">
        <v>1800</v>
      </c>
      <c r="C24">
        <v>10</v>
      </c>
      <c r="D24">
        <v>10.627827</v>
      </c>
      <c r="E24">
        <f t="shared" si="1"/>
        <v>10.477190999999999</v>
      </c>
      <c r="F24">
        <f t="shared" si="2"/>
        <v>40.410186602099998</v>
      </c>
      <c r="G24" s="6">
        <f t="shared" si="4"/>
        <v>4.2093944377187501E-3</v>
      </c>
      <c r="H24">
        <f t="shared" si="3"/>
        <v>404.10186602100003</v>
      </c>
    </row>
    <row r="25" spans="1:9">
      <c r="A25">
        <f t="shared" si="0"/>
        <v>50</v>
      </c>
      <c r="B25">
        <v>2000</v>
      </c>
      <c r="C25">
        <v>11</v>
      </c>
      <c r="D25">
        <v>9.2323380000000004</v>
      </c>
      <c r="E25">
        <f t="shared" si="1"/>
        <v>9.0817019999999999</v>
      </c>
      <c r="F25">
        <f t="shared" si="2"/>
        <v>35.104118777399997</v>
      </c>
      <c r="G25" s="6">
        <f t="shared" si="4"/>
        <v>3.6566790393124998E-3</v>
      </c>
      <c r="H25">
        <f t="shared" si="3"/>
        <v>351.04118777399998</v>
      </c>
    </row>
    <row r="26" spans="1:9">
      <c r="A26">
        <f t="shared" si="0"/>
        <v>55</v>
      </c>
      <c r="B26">
        <v>2200</v>
      </c>
      <c r="C26">
        <v>12</v>
      </c>
      <c r="D26">
        <v>8.0515369999999997</v>
      </c>
      <c r="E26">
        <f t="shared" si="1"/>
        <v>7.9009009999999993</v>
      </c>
      <c r="F26">
        <f t="shared" si="2"/>
        <v>30.614359135099996</v>
      </c>
      <c r="G26" s="6">
        <f t="shared" si="4"/>
        <v>3.1889957432395828E-3</v>
      </c>
      <c r="H26">
        <f t="shared" si="3"/>
        <v>306.14359135099994</v>
      </c>
      <c r="I26" s="2"/>
    </row>
    <row r="27" spans="1:9">
      <c r="A27">
        <f t="shared" si="0"/>
        <v>60</v>
      </c>
      <c r="B27">
        <v>2400</v>
      </c>
      <c r="C27">
        <v>13</v>
      </c>
      <c r="D27">
        <v>7.2003149999999998</v>
      </c>
      <c r="E27">
        <f t="shared" si="1"/>
        <v>7.0496789999999994</v>
      </c>
      <c r="F27">
        <f t="shared" si="2"/>
        <v>27.377757724499997</v>
      </c>
      <c r="G27" s="6">
        <f t="shared" si="4"/>
        <v>2.8518497629687494E-3</v>
      </c>
      <c r="H27">
        <f t="shared" si="3"/>
        <v>273.77757724499997</v>
      </c>
      <c r="I27" s="2"/>
    </row>
    <row r="28" spans="1:9">
      <c r="A28">
        <f t="shared" si="0"/>
        <v>65</v>
      </c>
      <c r="B28">
        <v>2600</v>
      </c>
      <c r="C28">
        <v>14</v>
      </c>
      <c r="D28">
        <v>6.3143500000000001</v>
      </c>
      <c r="E28">
        <f t="shared" si="1"/>
        <v>6.1637140000000006</v>
      </c>
      <c r="F28">
        <f t="shared" si="2"/>
        <v>24.009053004999998</v>
      </c>
      <c r="G28" s="6">
        <f t="shared" si="4"/>
        <v>2.5009430213541665E-3</v>
      </c>
      <c r="H28">
        <f t="shared" si="3"/>
        <v>240.09053004999998</v>
      </c>
    </row>
    <row r="29" spans="1:9">
      <c r="A29">
        <f t="shared" si="0"/>
        <v>70</v>
      </c>
      <c r="B29">
        <v>2800</v>
      </c>
      <c r="C29">
        <v>15</v>
      </c>
      <c r="D29">
        <v>5.6823889999999997</v>
      </c>
      <c r="E29">
        <f t="shared" si="1"/>
        <v>5.5317530000000001</v>
      </c>
      <c r="F29">
        <f t="shared" si="2"/>
        <v>21.606147694699999</v>
      </c>
      <c r="G29" s="6">
        <f t="shared" si="4"/>
        <v>2.2506403848645833E-3</v>
      </c>
      <c r="H29">
        <f t="shared" si="3"/>
        <v>216.06147694700002</v>
      </c>
    </row>
    <row r="30" spans="1:9">
      <c r="A30">
        <f t="shared" si="0"/>
        <v>75</v>
      </c>
      <c r="B30">
        <v>3000</v>
      </c>
      <c r="C30">
        <v>16</v>
      </c>
      <c r="D30">
        <v>5.1454339999999998</v>
      </c>
      <c r="E30">
        <f t="shared" si="1"/>
        <v>4.9947979999999994</v>
      </c>
      <c r="F30">
        <f t="shared" si="2"/>
        <v>19.564483698199997</v>
      </c>
      <c r="G30" s="6">
        <f t="shared" si="4"/>
        <v>2.037967051895833E-3</v>
      </c>
      <c r="H30">
        <f t="shared" si="3"/>
        <v>195.64483698199996</v>
      </c>
    </row>
    <row r="31" spans="1:9">
      <c r="A31">
        <f t="shared" si="0"/>
        <v>80</v>
      </c>
      <c r="B31">
        <v>3200</v>
      </c>
      <c r="C31">
        <v>17</v>
      </c>
      <c r="D31">
        <v>4.7672549999999996</v>
      </c>
      <c r="E31">
        <f t="shared" si="1"/>
        <v>4.616619</v>
      </c>
      <c r="F31">
        <f t="shared" si="2"/>
        <v>18.126533686499997</v>
      </c>
      <c r="G31" s="6">
        <f t="shared" si="4"/>
        <v>1.8881805923437495E-3</v>
      </c>
      <c r="H31">
        <f t="shared" si="3"/>
        <v>181.26533686499997</v>
      </c>
    </row>
    <row r="32" spans="1:9">
      <c r="A32">
        <f t="shared" si="0"/>
        <v>85</v>
      </c>
      <c r="B32">
        <v>3400</v>
      </c>
      <c r="C32">
        <v>18</v>
      </c>
      <c r="D32">
        <v>4.3234760000000003</v>
      </c>
      <c r="E32">
        <f t="shared" si="1"/>
        <v>4.1728400000000008</v>
      </c>
      <c r="F32">
        <f t="shared" si="2"/>
        <v>16.439152794800002</v>
      </c>
      <c r="G32" s="6">
        <f t="shared" si="4"/>
        <v>1.7124117494583338E-3</v>
      </c>
      <c r="H32">
        <f t="shared" si="3"/>
        <v>164.39152794800006</v>
      </c>
    </row>
    <row r="33" spans="1:8">
      <c r="A33">
        <f t="shared" si="0"/>
        <v>90</v>
      </c>
      <c r="B33">
        <v>3600</v>
      </c>
      <c r="C33">
        <v>19</v>
      </c>
      <c r="D33">
        <v>3.9098850000000001</v>
      </c>
      <c r="E33">
        <f t="shared" si="1"/>
        <v>3.7592490000000001</v>
      </c>
      <c r="F33">
        <f t="shared" si="2"/>
        <v>14.866555735499999</v>
      </c>
      <c r="G33" s="6">
        <f t="shared" si="4"/>
        <v>1.5485995557812497E-3</v>
      </c>
      <c r="H33">
        <f t="shared" si="3"/>
        <v>148.66555735499998</v>
      </c>
    </row>
    <row r="34" spans="1:8">
      <c r="A34">
        <f t="shared" si="0"/>
        <v>95</v>
      </c>
      <c r="B34">
        <v>3800</v>
      </c>
      <c r="C34">
        <v>20</v>
      </c>
      <c r="D34">
        <v>3.6937920000000002</v>
      </c>
      <c r="E34">
        <f t="shared" si="1"/>
        <v>3.5431560000000002</v>
      </c>
      <c r="F34">
        <f t="shared" si="2"/>
        <v>14.0449053216</v>
      </c>
      <c r="G34" s="6">
        <f t="shared" si="4"/>
        <v>1.4630109710000001E-3</v>
      </c>
      <c r="H34">
        <f t="shared" si="3"/>
        <v>140.44905321600001</v>
      </c>
    </row>
    <row r="35" spans="1:8">
      <c r="A35">
        <f t="shared" si="0"/>
        <v>100</v>
      </c>
      <c r="B35">
        <v>4000</v>
      </c>
      <c r="C35">
        <v>21</v>
      </c>
      <c r="D35">
        <v>3.9416899999999999</v>
      </c>
      <c r="E35">
        <f t="shared" si="1"/>
        <v>3.7910539999999999</v>
      </c>
      <c r="F35">
        <f t="shared" si="2"/>
        <v>14.987487886999999</v>
      </c>
      <c r="G35" s="6">
        <f t="shared" si="4"/>
        <v>1.5611966548958332E-3</v>
      </c>
      <c r="H35">
        <f t="shared" si="3"/>
        <v>149.87487887</v>
      </c>
    </row>
    <row r="43" spans="1:8">
      <c r="D43" t="s">
        <v>4</v>
      </c>
      <c r="G43" s="2"/>
    </row>
    <row r="44" spans="1:8">
      <c r="A44" t="s">
        <v>10</v>
      </c>
      <c r="B44" t="s">
        <v>18</v>
      </c>
      <c r="C44" t="s">
        <v>17</v>
      </c>
      <c r="D44" t="s">
        <v>0</v>
      </c>
      <c r="E44" t="s">
        <v>22</v>
      </c>
      <c r="F44" t="s">
        <v>3</v>
      </c>
      <c r="G44" s="6" t="s">
        <v>25</v>
      </c>
    </row>
    <row r="45" spans="1:8">
      <c r="A45">
        <f>B45/40</f>
        <v>0</v>
      </c>
      <c r="B45">
        <v>0</v>
      </c>
      <c r="C45">
        <v>0</v>
      </c>
      <c r="D45">
        <v>42.311639999999997</v>
      </c>
      <c r="E45">
        <f>D45-$I$2</f>
        <v>42.302951999999998</v>
      </c>
      <c r="F45">
        <f>2.3333*E45</f>
        <v>98.705477901599991</v>
      </c>
      <c r="G45" s="6">
        <f>F45*10/35.5/1000</f>
        <v>2.7804359972281686E-2</v>
      </c>
      <c r="H45">
        <f>G45*35.5*1000</f>
        <v>987.05477901599988</v>
      </c>
    </row>
    <row r="46" spans="1:8">
      <c r="A46">
        <f t="shared" ref="A46:A66" si="5">B46/40</f>
        <v>0</v>
      </c>
      <c r="B46">
        <v>0</v>
      </c>
      <c r="C46">
        <v>1</v>
      </c>
      <c r="D46">
        <v>1.0469679999999999</v>
      </c>
      <c r="E46">
        <f t="shared" ref="E46:E66" si="6">D46-$I$2</f>
        <v>1.0382799999999999</v>
      </c>
      <c r="F46">
        <f t="shared" ref="F46:F66" si="7">2.3333*E46</f>
        <v>2.4226187239999994</v>
      </c>
      <c r="G46" s="6">
        <f t="shared" ref="G46:G66" si="8">F46*10/35.5/1000</f>
        <v>6.8242780957746463E-4</v>
      </c>
      <c r="H46">
        <f t="shared" ref="H46:H65" si="9">G46*35.5*1000</f>
        <v>24.226187239999994</v>
      </c>
    </row>
    <row r="47" spans="1:8">
      <c r="A47">
        <f t="shared" si="5"/>
        <v>5</v>
      </c>
      <c r="B47">
        <v>200</v>
      </c>
      <c r="C47">
        <v>2</v>
      </c>
      <c r="D47">
        <v>0.442056</v>
      </c>
      <c r="E47">
        <f t="shared" si="6"/>
        <v>0.43336800000000003</v>
      </c>
      <c r="F47">
        <f t="shared" si="7"/>
        <v>1.0111775544000001</v>
      </c>
      <c r="G47" s="6">
        <f t="shared" si="8"/>
        <v>2.8483874771830983E-4</v>
      </c>
      <c r="H47">
        <f t="shared" si="9"/>
        <v>10.111775544</v>
      </c>
    </row>
    <row r="48" spans="1:8">
      <c r="A48">
        <f t="shared" si="5"/>
        <v>10</v>
      </c>
      <c r="B48">
        <v>400</v>
      </c>
      <c r="C48">
        <v>3</v>
      </c>
      <c r="D48">
        <v>0.90570200000000001</v>
      </c>
      <c r="E48">
        <f t="shared" si="6"/>
        <v>0.89701399999999998</v>
      </c>
      <c r="F48">
        <f t="shared" si="7"/>
        <v>2.0930027661999997</v>
      </c>
      <c r="G48" s="6">
        <f t="shared" si="8"/>
        <v>5.8957824399999989E-4</v>
      </c>
      <c r="H48">
        <f t="shared" si="9"/>
        <v>20.930027661999997</v>
      </c>
    </row>
    <row r="49" spans="1:8">
      <c r="A49">
        <f t="shared" si="5"/>
        <v>15</v>
      </c>
      <c r="B49">
        <v>600</v>
      </c>
      <c r="C49">
        <v>4</v>
      </c>
      <c r="D49">
        <v>4.2020400000000002</v>
      </c>
      <c r="E49">
        <f t="shared" si="6"/>
        <v>4.193352</v>
      </c>
      <c r="F49">
        <f t="shared" si="7"/>
        <v>9.7843482216000002</v>
      </c>
      <c r="G49" s="6">
        <f t="shared" si="8"/>
        <v>2.7561544286197185E-3</v>
      </c>
      <c r="H49">
        <f t="shared" si="9"/>
        <v>97.843482215999998</v>
      </c>
    </row>
    <row r="50" spans="1:8">
      <c r="A50">
        <f t="shared" si="5"/>
        <v>20</v>
      </c>
      <c r="B50">
        <v>800</v>
      </c>
      <c r="C50">
        <v>5</v>
      </c>
      <c r="D50">
        <v>9.9673800000000004</v>
      </c>
      <c r="E50">
        <f t="shared" si="6"/>
        <v>9.958692000000001</v>
      </c>
      <c r="F50">
        <f t="shared" si="7"/>
        <v>23.236616043600002</v>
      </c>
      <c r="G50" s="6">
        <f t="shared" si="8"/>
        <v>6.5455256460845079E-3</v>
      </c>
      <c r="H50">
        <f t="shared" si="9"/>
        <v>232.36616043600003</v>
      </c>
    </row>
    <row r="51" spans="1:8">
      <c r="A51">
        <f t="shared" si="5"/>
        <v>25</v>
      </c>
      <c r="B51">
        <v>1000</v>
      </c>
      <c r="C51">
        <v>6</v>
      </c>
      <c r="D51">
        <v>15.956956999999999</v>
      </c>
      <c r="E51">
        <f t="shared" si="6"/>
        <v>15.948269</v>
      </c>
      <c r="F51">
        <f t="shared" si="7"/>
        <v>37.212096057700002</v>
      </c>
      <c r="G51" s="6">
        <f t="shared" si="8"/>
        <v>1.0482280579633803E-2</v>
      </c>
      <c r="H51">
        <f t="shared" si="9"/>
        <v>372.12096057700001</v>
      </c>
    </row>
    <row r="52" spans="1:8">
      <c r="A52">
        <f t="shared" si="5"/>
        <v>30</v>
      </c>
      <c r="B52">
        <v>1200</v>
      </c>
      <c r="C52">
        <v>7</v>
      </c>
      <c r="D52">
        <v>20.261810000000001</v>
      </c>
      <c r="E52">
        <f t="shared" si="6"/>
        <v>20.253122000000001</v>
      </c>
      <c r="F52">
        <f t="shared" si="7"/>
        <v>47.256609562599998</v>
      </c>
      <c r="G52" s="6">
        <f t="shared" si="8"/>
        <v>1.3311721003549297E-2</v>
      </c>
      <c r="H52">
        <f t="shared" si="9"/>
        <v>472.56609562600005</v>
      </c>
    </row>
    <row r="53" spans="1:8">
      <c r="A53">
        <f t="shared" si="5"/>
        <v>35</v>
      </c>
      <c r="B53">
        <v>1400</v>
      </c>
      <c r="C53">
        <v>8</v>
      </c>
      <c r="D53">
        <v>23.456910000000001</v>
      </c>
      <c r="E53">
        <f t="shared" si="6"/>
        <v>23.448222000000001</v>
      </c>
      <c r="F53">
        <f t="shared" si="7"/>
        <v>54.711736392600002</v>
      </c>
      <c r="G53" s="6">
        <f t="shared" si="8"/>
        <v>1.5411756730309862E-2</v>
      </c>
      <c r="H53">
        <f t="shared" si="9"/>
        <v>547.11736392600005</v>
      </c>
    </row>
    <row r="54" spans="1:8">
      <c r="A54">
        <f t="shared" si="5"/>
        <v>40</v>
      </c>
      <c r="B54">
        <v>1600</v>
      </c>
      <c r="C54">
        <v>9</v>
      </c>
      <c r="D54">
        <v>26.719474000000002</v>
      </c>
      <c r="E54">
        <f t="shared" si="6"/>
        <v>26.710786000000002</v>
      </c>
      <c r="F54">
        <f t="shared" si="7"/>
        <v>62.324276973800004</v>
      </c>
      <c r="G54" s="6">
        <f t="shared" si="8"/>
        <v>1.7556134358816901E-2</v>
      </c>
      <c r="H54">
        <f t="shared" si="9"/>
        <v>623.24276973799999</v>
      </c>
    </row>
    <row r="55" spans="1:8">
      <c r="A55">
        <f t="shared" si="5"/>
        <v>45</v>
      </c>
      <c r="B55">
        <v>1800</v>
      </c>
      <c r="C55">
        <v>10</v>
      </c>
      <c r="D55">
        <v>28.638393000000001</v>
      </c>
      <c r="E55">
        <f t="shared" si="6"/>
        <v>28.629705000000001</v>
      </c>
      <c r="F55">
        <f t="shared" si="7"/>
        <v>66.801690676500002</v>
      </c>
      <c r="G55" s="6">
        <f t="shared" si="8"/>
        <v>1.8817377655352116E-2</v>
      </c>
      <c r="H55">
        <f t="shared" si="9"/>
        <v>668.01690676500016</v>
      </c>
    </row>
    <row r="56" spans="1:8">
      <c r="A56">
        <f t="shared" si="5"/>
        <v>50</v>
      </c>
      <c r="B56">
        <v>2000</v>
      </c>
      <c r="C56">
        <v>11</v>
      </c>
      <c r="D56">
        <v>30.150161000000001</v>
      </c>
      <c r="E56">
        <f t="shared" si="6"/>
        <v>30.141473000000001</v>
      </c>
      <c r="F56">
        <f t="shared" si="7"/>
        <v>70.329098950900004</v>
      </c>
      <c r="G56" s="6">
        <f t="shared" si="8"/>
        <v>1.9811013788985917E-2</v>
      </c>
      <c r="H56">
        <f t="shared" si="9"/>
        <v>703.29098950900004</v>
      </c>
    </row>
    <row r="57" spans="1:8">
      <c r="A57">
        <f t="shared" si="5"/>
        <v>55</v>
      </c>
      <c r="B57">
        <v>2200</v>
      </c>
      <c r="C57">
        <v>12</v>
      </c>
      <c r="D57">
        <v>31.196313</v>
      </c>
      <c r="E57">
        <f t="shared" si="6"/>
        <v>31.187625000000001</v>
      </c>
      <c r="F57">
        <f t="shared" si="7"/>
        <v>72.770085412499995</v>
      </c>
      <c r="G57" s="6">
        <f t="shared" si="8"/>
        <v>2.0498615609154929E-2</v>
      </c>
      <c r="H57">
        <f t="shared" si="9"/>
        <v>727.70085412499998</v>
      </c>
    </row>
    <row r="58" spans="1:8">
      <c r="A58">
        <f t="shared" si="5"/>
        <v>60</v>
      </c>
      <c r="B58">
        <v>2400</v>
      </c>
      <c r="C58">
        <v>13</v>
      </c>
      <c r="D58">
        <v>32.592011999999997</v>
      </c>
      <c r="E58">
        <f t="shared" si="6"/>
        <v>32.583323999999998</v>
      </c>
      <c r="F58">
        <f t="shared" si="7"/>
        <v>76.026669889199994</v>
      </c>
      <c r="G58" s="6">
        <f t="shared" si="8"/>
        <v>2.1415963349070422E-2</v>
      </c>
      <c r="H58">
        <f t="shared" si="9"/>
        <v>760.26669889199991</v>
      </c>
    </row>
    <row r="59" spans="1:8">
      <c r="A59">
        <f t="shared" si="5"/>
        <v>65</v>
      </c>
      <c r="B59">
        <v>2600</v>
      </c>
      <c r="C59">
        <v>14</v>
      </c>
      <c r="D59">
        <v>32.737383000000001</v>
      </c>
      <c r="E59">
        <f t="shared" si="6"/>
        <v>32.728695000000002</v>
      </c>
      <c r="F59">
        <f t="shared" si="7"/>
        <v>76.365864043499997</v>
      </c>
      <c r="G59" s="6">
        <f t="shared" si="8"/>
        <v>2.151151099816901E-2</v>
      </c>
      <c r="H59">
        <f t="shared" si="9"/>
        <v>763.65864043499982</v>
      </c>
    </row>
    <row r="60" spans="1:8">
      <c r="A60">
        <f t="shared" si="5"/>
        <v>70</v>
      </c>
      <c r="B60">
        <v>2800</v>
      </c>
      <c r="C60">
        <v>15</v>
      </c>
      <c r="D60">
        <v>33.562151</v>
      </c>
      <c r="E60">
        <f t="shared" si="6"/>
        <v>33.553463000000001</v>
      </c>
      <c r="F60">
        <f t="shared" si="7"/>
        <v>78.290295217899995</v>
      </c>
      <c r="G60" s="6">
        <f t="shared" si="8"/>
        <v>2.2053604286732396E-2</v>
      </c>
      <c r="H60">
        <f t="shared" si="9"/>
        <v>782.90295217900007</v>
      </c>
    </row>
    <row r="61" spans="1:8">
      <c r="A61">
        <f t="shared" si="5"/>
        <v>75</v>
      </c>
      <c r="B61">
        <v>3000</v>
      </c>
      <c r="C61">
        <v>16</v>
      </c>
      <c r="D61">
        <v>34.120444999999997</v>
      </c>
      <c r="E61">
        <f t="shared" si="6"/>
        <v>34.111756999999997</v>
      </c>
      <c r="F61">
        <f t="shared" si="7"/>
        <v>79.592962608099995</v>
      </c>
      <c r="G61" s="6">
        <f t="shared" si="8"/>
        <v>2.2420552847352108E-2</v>
      </c>
      <c r="H61">
        <f t="shared" si="9"/>
        <v>795.92962608099981</v>
      </c>
    </row>
    <row r="62" spans="1:8">
      <c r="A62">
        <f t="shared" si="5"/>
        <v>80</v>
      </c>
      <c r="B62">
        <v>3200</v>
      </c>
      <c r="C62">
        <v>17</v>
      </c>
      <c r="D62">
        <v>35.024037999999997</v>
      </c>
      <c r="E62">
        <f t="shared" si="6"/>
        <v>35.015349999999998</v>
      </c>
      <c r="F62">
        <f t="shared" si="7"/>
        <v>81.701316154999986</v>
      </c>
      <c r="G62" s="6">
        <f t="shared" si="8"/>
        <v>2.3014455254929574E-2</v>
      </c>
      <c r="H62">
        <f t="shared" si="9"/>
        <v>817.01316154999984</v>
      </c>
    </row>
    <row r="63" spans="1:8">
      <c r="A63">
        <f t="shared" si="5"/>
        <v>85</v>
      </c>
      <c r="B63">
        <v>3400</v>
      </c>
      <c r="C63">
        <v>18</v>
      </c>
      <c r="D63">
        <v>35.099812999999997</v>
      </c>
      <c r="E63">
        <f t="shared" si="6"/>
        <v>35.091124999999998</v>
      </c>
      <c r="F63">
        <f t="shared" si="7"/>
        <v>81.878121962499989</v>
      </c>
      <c r="G63" s="6">
        <f t="shared" si="8"/>
        <v>2.3064259707746476E-2</v>
      </c>
      <c r="H63">
        <f t="shared" si="9"/>
        <v>818.78121962499995</v>
      </c>
    </row>
    <row r="64" spans="1:8">
      <c r="A64">
        <f t="shared" si="5"/>
        <v>90</v>
      </c>
      <c r="B64">
        <v>3600</v>
      </c>
      <c r="C64">
        <v>19</v>
      </c>
      <c r="D64">
        <v>35.445203999999997</v>
      </c>
      <c r="E64">
        <f t="shared" si="6"/>
        <v>35.436515999999997</v>
      </c>
      <c r="F64">
        <f t="shared" si="7"/>
        <v>82.684022782799985</v>
      </c>
      <c r="G64" s="6">
        <f t="shared" si="8"/>
        <v>2.3291274023323941E-2</v>
      </c>
      <c r="H64">
        <f t="shared" si="9"/>
        <v>826.84022782799991</v>
      </c>
    </row>
    <row r="65" spans="1:8">
      <c r="A65">
        <f t="shared" si="5"/>
        <v>95</v>
      </c>
      <c r="B65">
        <v>3800</v>
      </c>
      <c r="C65">
        <v>20</v>
      </c>
      <c r="D65">
        <v>35.906953000000001</v>
      </c>
      <c r="E65">
        <f t="shared" si="6"/>
        <v>35.898265000000002</v>
      </c>
      <c r="F65">
        <f t="shared" si="7"/>
        <v>83.761421724499996</v>
      </c>
      <c r="G65" s="6">
        <f t="shared" si="8"/>
        <v>2.3594766682957746E-2</v>
      </c>
      <c r="H65">
        <f t="shared" si="9"/>
        <v>837.61421724499996</v>
      </c>
    </row>
    <row r="66" spans="1:8">
      <c r="A66">
        <f t="shared" si="5"/>
        <v>100</v>
      </c>
      <c r="B66">
        <v>4000</v>
      </c>
      <c r="C66">
        <v>21</v>
      </c>
      <c r="D66">
        <v>35.74436</v>
      </c>
      <c r="E66">
        <f t="shared" si="6"/>
        <v>35.735672000000001</v>
      </c>
      <c r="F66">
        <f t="shared" si="7"/>
        <v>83.382043477599993</v>
      </c>
      <c r="G66" s="6">
        <f t="shared" si="8"/>
        <v>2.3487899571154928E-2</v>
      </c>
      <c r="H66">
        <f>G66*35.5*1000</f>
        <v>833.82043477599996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431AA-1B3E-4A00-9064-21BDA26DE341}">
  <dimension ref="A1:J66"/>
  <sheetViews>
    <sheetView topLeftCell="A31" workbookViewId="0">
      <selection activeCell="I38" sqref="I38"/>
    </sheetView>
  </sheetViews>
  <sheetFormatPr defaultRowHeight="14.5"/>
  <cols>
    <col min="4" max="4" width="18.90625" customWidth="1"/>
    <col min="5" max="5" width="15.7265625" customWidth="1"/>
    <col min="6" max="6" width="17.36328125" style="6" customWidth="1"/>
    <col min="7" max="7" width="13.453125" customWidth="1"/>
    <col min="8" max="8" width="9.81640625" customWidth="1"/>
    <col min="9" max="9" width="17.453125" customWidth="1"/>
    <col min="12" max="12" width="15.453125" customWidth="1"/>
  </cols>
  <sheetData>
    <row r="1" spans="1:10">
      <c r="A1" t="s">
        <v>24</v>
      </c>
      <c r="H1" t="s">
        <v>20</v>
      </c>
      <c r="I1" t="s">
        <v>21</v>
      </c>
    </row>
    <row r="2" spans="1:10">
      <c r="A2" t="s">
        <v>5</v>
      </c>
      <c r="B2" t="s">
        <v>0</v>
      </c>
      <c r="C2" t="s">
        <v>1</v>
      </c>
      <c r="D2" s="6"/>
      <c r="E2" t="s">
        <v>4</v>
      </c>
      <c r="F2" t="s">
        <v>0</v>
      </c>
      <c r="G2" t="s">
        <v>1</v>
      </c>
      <c r="H2">
        <v>0.15063599999999999</v>
      </c>
      <c r="I2">
        <v>8.6879999999999995E-3</v>
      </c>
    </row>
    <row r="3" spans="1:10">
      <c r="B3" s="4">
        <v>0</v>
      </c>
      <c r="C3">
        <v>0</v>
      </c>
      <c r="D3" s="6"/>
      <c r="F3" s="4">
        <v>0</v>
      </c>
      <c r="G3">
        <v>0</v>
      </c>
    </row>
    <row r="4" spans="1:10">
      <c r="B4" s="4">
        <f>1.306234-$H$2</f>
        <v>1.1555979999999999</v>
      </c>
      <c r="C4">
        <v>5</v>
      </c>
      <c r="D4" s="6"/>
      <c r="F4" s="3">
        <f>0.322861-$I$2</f>
        <v>0.31417300000000004</v>
      </c>
      <c r="G4">
        <v>1</v>
      </c>
    </row>
    <row r="5" spans="1:10">
      <c r="B5" s="4">
        <f>2.593779-$H$2</f>
        <v>2.4431430000000001</v>
      </c>
      <c r="C5">
        <v>10</v>
      </c>
      <c r="D5" s="6"/>
      <c r="F5" s="3">
        <f>1.795886-$I$2</f>
        <v>1.7871980000000001</v>
      </c>
      <c r="G5">
        <v>5</v>
      </c>
    </row>
    <row r="6" spans="1:10">
      <c r="B6" s="4">
        <f>3.978358-$H$2</f>
        <v>3.8277220000000001</v>
      </c>
      <c r="C6">
        <v>15</v>
      </c>
      <c r="D6" s="6"/>
      <c r="F6" s="3">
        <f>3.846018-$I$2</f>
        <v>3.8373300000000001</v>
      </c>
      <c r="G6">
        <v>10</v>
      </c>
    </row>
    <row r="7" spans="1:10">
      <c r="B7" s="4">
        <f>6.887454-$H$2</f>
        <v>6.7368179999999995</v>
      </c>
      <c r="C7">
        <v>25</v>
      </c>
      <c r="D7" s="6"/>
      <c r="F7" s="3">
        <f>8.117028-$I$2</f>
        <v>8.1083400000000001</v>
      </c>
      <c r="G7">
        <v>20</v>
      </c>
    </row>
    <row r="8" spans="1:10">
      <c r="B8" s="3"/>
      <c r="D8" s="6"/>
      <c r="F8" s="3">
        <f>43.009746-$I$2</f>
        <v>43.001058</v>
      </c>
      <c r="G8">
        <v>100</v>
      </c>
    </row>
    <row r="12" spans="1:10">
      <c r="D12" t="s">
        <v>5</v>
      </c>
    </row>
    <row r="13" spans="1:10">
      <c r="A13" t="s">
        <v>10</v>
      </c>
      <c r="B13" t="s">
        <v>18</v>
      </c>
      <c r="C13" t="s">
        <v>17</v>
      </c>
      <c r="D13" t="s">
        <v>0</v>
      </c>
      <c r="E13" t="s">
        <v>22</v>
      </c>
      <c r="F13" t="s">
        <v>3</v>
      </c>
      <c r="G13" s="6" t="s">
        <v>25</v>
      </c>
      <c r="H13" s="1" t="s">
        <v>13</v>
      </c>
      <c r="J13" s="2"/>
    </row>
    <row r="14" spans="1:10">
      <c r="A14">
        <f>B14/40</f>
        <v>0</v>
      </c>
      <c r="B14">
        <v>0</v>
      </c>
      <c r="C14">
        <v>0</v>
      </c>
      <c r="D14">
        <v>29.188526</v>
      </c>
      <c r="E14">
        <f>D14-$H$2</f>
        <v>29.037890000000001</v>
      </c>
      <c r="F14">
        <f>3.8023*D14</f>
        <v>110.98353240979999</v>
      </c>
      <c r="G14" s="6">
        <f>F14*10/96/1000</f>
        <v>1.1560784626020833E-2</v>
      </c>
      <c r="H14">
        <f>G14*96*1000</f>
        <v>1109.835324098</v>
      </c>
    </row>
    <row r="15" spans="1:10">
      <c r="A15">
        <f t="shared" ref="A15:A35" si="0">B15/40</f>
        <v>0</v>
      </c>
      <c r="B15">
        <v>0</v>
      </c>
      <c r="C15">
        <v>1</v>
      </c>
      <c r="D15">
        <v>9.9450999999999998E-2</v>
      </c>
      <c r="E15">
        <f t="shared" ref="E15:E35" si="1">D15-$H$2</f>
        <v>-5.1184999999999994E-2</v>
      </c>
      <c r="F15">
        <f t="shared" ref="F15:F35" si="2">3.8023*D15</f>
        <v>0.37814253729999997</v>
      </c>
      <c r="G15" s="6">
        <f t="shared" ref="G15:G35" si="3">F15*10/96/1000</f>
        <v>3.9389847635416662E-5</v>
      </c>
      <c r="H15">
        <f t="shared" ref="H15:H35" si="4">G15*96*1000</f>
        <v>3.7814253729999994</v>
      </c>
    </row>
    <row r="16" spans="1:10">
      <c r="A16">
        <f t="shared" si="0"/>
        <v>5</v>
      </c>
      <c r="B16">
        <v>200</v>
      </c>
      <c r="C16">
        <v>2</v>
      </c>
      <c r="D16">
        <v>0.45803500000000003</v>
      </c>
      <c r="E16">
        <f t="shared" si="1"/>
        <v>0.30739900000000003</v>
      </c>
      <c r="F16">
        <f t="shared" si="2"/>
        <v>1.7415864805000001</v>
      </c>
      <c r="G16" s="6">
        <f t="shared" si="3"/>
        <v>1.814152583854167E-4</v>
      </c>
      <c r="H16">
        <f t="shared" si="4"/>
        <v>17.415864805000005</v>
      </c>
    </row>
    <row r="17" spans="1:9">
      <c r="A17">
        <f t="shared" si="0"/>
        <v>10</v>
      </c>
      <c r="B17">
        <v>400</v>
      </c>
      <c r="C17">
        <v>3</v>
      </c>
      <c r="D17">
        <v>2.0435189999999999</v>
      </c>
      <c r="E17">
        <f t="shared" si="1"/>
        <v>1.8928829999999999</v>
      </c>
      <c r="F17">
        <f t="shared" si="2"/>
        <v>7.7700722936999993</v>
      </c>
      <c r="G17" s="6">
        <f t="shared" si="3"/>
        <v>8.0938253059375002E-4</v>
      </c>
      <c r="H17">
        <f t="shared" si="4"/>
        <v>77.700722937000009</v>
      </c>
    </row>
    <row r="18" spans="1:9">
      <c r="A18">
        <f t="shared" si="0"/>
        <v>15</v>
      </c>
      <c r="B18">
        <v>600</v>
      </c>
      <c r="C18">
        <v>4</v>
      </c>
      <c r="D18">
        <v>6.1181520000000003</v>
      </c>
      <c r="E18">
        <f t="shared" si="1"/>
        <v>5.9675159999999998</v>
      </c>
      <c r="F18">
        <f t="shared" si="2"/>
        <v>23.263049349599999</v>
      </c>
      <c r="G18" s="6">
        <f t="shared" si="3"/>
        <v>2.42323430725E-3</v>
      </c>
      <c r="H18">
        <f t="shared" si="4"/>
        <v>232.63049349600001</v>
      </c>
    </row>
    <row r="19" spans="1:9">
      <c r="A19">
        <f t="shared" si="0"/>
        <v>20</v>
      </c>
      <c r="B19">
        <v>800</v>
      </c>
      <c r="C19">
        <v>5</v>
      </c>
      <c r="D19">
        <v>10.962819</v>
      </c>
      <c r="E19">
        <f t="shared" si="1"/>
        <v>10.812182999999999</v>
      </c>
      <c r="F19">
        <f t="shared" si="2"/>
        <v>41.683926683699994</v>
      </c>
      <c r="G19" s="6">
        <f t="shared" si="3"/>
        <v>4.3420756962187492E-3</v>
      </c>
      <c r="H19">
        <f t="shared" si="4"/>
        <v>416.83926683699991</v>
      </c>
    </row>
    <row r="20" spans="1:9">
      <c r="A20">
        <f t="shared" si="0"/>
        <v>25</v>
      </c>
      <c r="B20">
        <v>1000</v>
      </c>
      <c r="C20">
        <v>6</v>
      </c>
      <c r="D20">
        <v>15.021468</v>
      </c>
      <c r="E20">
        <f t="shared" si="1"/>
        <v>14.870832</v>
      </c>
      <c r="F20">
        <f t="shared" si="2"/>
        <v>57.116127776399999</v>
      </c>
      <c r="G20" s="6">
        <f t="shared" si="3"/>
        <v>5.9495966433749997E-3</v>
      </c>
      <c r="H20">
        <f t="shared" si="4"/>
        <v>571.16127776399992</v>
      </c>
    </row>
    <row r="21" spans="1:9">
      <c r="A21">
        <f t="shared" si="0"/>
        <v>30</v>
      </c>
      <c r="B21">
        <v>1200</v>
      </c>
      <c r="C21">
        <v>7</v>
      </c>
      <c r="D21">
        <v>17.896785000000001</v>
      </c>
      <c r="E21">
        <f t="shared" si="1"/>
        <v>17.746149000000003</v>
      </c>
      <c r="F21">
        <f t="shared" si="2"/>
        <v>68.048945605499995</v>
      </c>
      <c r="G21" s="6">
        <f t="shared" si="3"/>
        <v>7.0884318339062488E-3</v>
      </c>
      <c r="H21">
        <f t="shared" si="4"/>
        <v>680.48945605499989</v>
      </c>
    </row>
    <row r="22" spans="1:9">
      <c r="A22">
        <f t="shared" si="0"/>
        <v>35</v>
      </c>
      <c r="B22">
        <v>1400</v>
      </c>
      <c r="C22">
        <v>8</v>
      </c>
      <c r="D22">
        <v>20.444410999999999</v>
      </c>
      <c r="E22">
        <f t="shared" si="1"/>
        <v>20.293775</v>
      </c>
      <c r="F22">
        <f t="shared" si="2"/>
        <v>77.735783945299985</v>
      </c>
      <c r="G22" s="6">
        <f t="shared" si="3"/>
        <v>8.0974774943020807E-3</v>
      </c>
      <c r="H22">
        <f t="shared" si="4"/>
        <v>777.35783945299977</v>
      </c>
    </row>
    <row r="23" spans="1:9">
      <c r="A23">
        <f t="shared" si="0"/>
        <v>40</v>
      </c>
      <c r="B23">
        <v>1600</v>
      </c>
      <c r="C23">
        <v>9</v>
      </c>
      <c r="D23">
        <v>21.854500999999999</v>
      </c>
      <c r="E23">
        <f t="shared" si="1"/>
        <v>21.703865</v>
      </c>
      <c r="F23">
        <f t="shared" si="2"/>
        <v>83.09736915229999</v>
      </c>
      <c r="G23" s="6">
        <f t="shared" si="3"/>
        <v>8.6559759533645815E-3</v>
      </c>
      <c r="H23">
        <f t="shared" si="4"/>
        <v>830.97369152299984</v>
      </c>
    </row>
    <row r="24" spans="1:9">
      <c r="A24">
        <f t="shared" si="0"/>
        <v>45</v>
      </c>
      <c r="B24">
        <v>1800</v>
      </c>
      <c r="C24">
        <v>10</v>
      </c>
      <c r="D24">
        <v>23.342144000000001</v>
      </c>
      <c r="E24">
        <f t="shared" si="1"/>
        <v>23.191508000000002</v>
      </c>
      <c r="F24">
        <f t="shared" si="2"/>
        <v>88.753834131199994</v>
      </c>
      <c r="G24" s="6">
        <f t="shared" si="3"/>
        <v>9.2451910553333332E-3</v>
      </c>
      <c r="H24">
        <f t="shared" si="4"/>
        <v>887.53834131199994</v>
      </c>
    </row>
    <row r="25" spans="1:9">
      <c r="A25">
        <f t="shared" si="0"/>
        <v>50</v>
      </c>
      <c r="B25">
        <v>2000</v>
      </c>
      <c r="C25">
        <v>11</v>
      </c>
      <c r="D25">
        <v>24.573452</v>
      </c>
      <c r="E25">
        <f t="shared" si="1"/>
        <v>24.422816000000001</v>
      </c>
      <c r="F25">
        <f t="shared" si="2"/>
        <v>93.435636539599997</v>
      </c>
      <c r="G25" s="6">
        <f t="shared" si="3"/>
        <v>9.7328788062083331E-3</v>
      </c>
      <c r="H25">
        <f t="shared" si="4"/>
        <v>934.356365396</v>
      </c>
    </row>
    <row r="26" spans="1:9">
      <c r="A26">
        <f t="shared" si="0"/>
        <v>55</v>
      </c>
      <c r="B26">
        <v>2200</v>
      </c>
      <c r="C26">
        <v>12</v>
      </c>
      <c r="D26">
        <v>25.365268</v>
      </c>
      <c r="E26">
        <f t="shared" si="1"/>
        <v>25.214632000000002</v>
      </c>
      <c r="F26">
        <f t="shared" si="2"/>
        <v>96.446358516399997</v>
      </c>
      <c r="G26" s="6">
        <f t="shared" si="3"/>
        <v>1.0046495678791666E-2</v>
      </c>
      <c r="H26">
        <f t="shared" si="4"/>
        <v>964.46358516399994</v>
      </c>
      <c r="I26" s="2"/>
    </row>
    <row r="27" spans="1:9">
      <c r="A27">
        <f t="shared" si="0"/>
        <v>60</v>
      </c>
      <c r="B27">
        <v>2400</v>
      </c>
      <c r="C27">
        <v>13</v>
      </c>
      <c r="D27">
        <v>26.042797</v>
      </c>
      <c r="E27">
        <f t="shared" si="1"/>
        <v>25.892161000000002</v>
      </c>
      <c r="F27">
        <f t="shared" si="2"/>
        <v>99.02252703309999</v>
      </c>
      <c r="G27" s="6">
        <f t="shared" si="3"/>
        <v>1.0314846565947916E-2</v>
      </c>
      <c r="H27">
        <f t="shared" si="4"/>
        <v>990.22527033099993</v>
      </c>
      <c r="I27" s="2"/>
    </row>
    <row r="28" spans="1:9">
      <c r="A28">
        <f t="shared" si="0"/>
        <v>65</v>
      </c>
      <c r="B28">
        <v>2600</v>
      </c>
      <c r="C28">
        <v>14</v>
      </c>
      <c r="D28">
        <v>26.595770000000002</v>
      </c>
      <c r="E28">
        <f t="shared" si="1"/>
        <v>26.445134000000003</v>
      </c>
      <c r="F28">
        <f t="shared" si="2"/>
        <v>101.125096271</v>
      </c>
      <c r="G28" s="6">
        <f t="shared" si="3"/>
        <v>1.0533864194895834E-2</v>
      </c>
      <c r="H28">
        <f t="shared" si="4"/>
        <v>1011.2509627100002</v>
      </c>
    </row>
    <row r="29" spans="1:9">
      <c r="A29">
        <f t="shared" si="0"/>
        <v>70</v>
      </c>
      <c r="B29">
        <v>2800</v>
      </c>
      <c r="C29">
        <v>15</v>
      </c>
      <c r="D29">
        <v>26.831613999999998</v>
      </c>
      <c r="E29">
        <f t="shared" si="1"/>
        <v>26.680978</v>
      </c>
      <c r="F29">
        <f t="shared" si="2"/>
        <v>102.02184591219999</v>
      </c>
      <c r="G29" s="6">
        <f t="shared" si="3"/>
        <v>1.0627275615854165E-2</v>
      </c>
      <c r="H29">
        <f t="shared" si="4"/>
        <v>1020.2184591219998</v>
      </c>
    </row>
    <row r="30" spans="1:9">
      <c r="A30">
        <f t="shared" si="0"/>
        <v>75</v>
      </c>
      <c r="B30">
        <v>3000</v>
      </c>
      <c r="C30">
        <v>16</v>
      </c>
      <c r="D30">
        <v>27.577711999999998</v>
      </c>
      <c r="E30">
        <f t="shared" si="1"/>
        <v>27.427076</v>
      </c>
      <c r="F30">
        <f t="shared" si="2"/>
        <v>104.85873433759998</v>
      </c>
      <c r="G30" s="6">
        <f t="shared" si="3"/>
        <v>1.0922784826833331E-2</v>
      </c>
      <c r="H30">
        <f t="shared" si="4"/>
        <v>1048.5873433759998</v>
      </c>
    </row>
    <row r="31" spans="1:9">
      <c r="A31">
        <f t="shared" si="0"/>
        <v>80</v>
      </c>
      <c r="B31">
        <v>3200</v>
      </c>
      <c r="C31">
        <v>17</v>
      </c>
      <c r="D31">
        <v>27.729372000000001</v>
      </c>
      <c r="E31">
        <f t="shared" si="1"/>
        <v>27.578736000000003</v>
      </c>
      <c r="F31">
        <f t="shared" si="2"/>
        <v>105.4353911556</v>
      </c>
      <c r="G31" s="6">
        <f t="shared" si="3"/>
        <v>1.0982853245374999E-2</v>
      </c>
      <c r="H31">
        <f t="shared" si="4"/>
        <v>1054.353911556</v>
      </c>
    </row>
    <row r="32" spans="1:9">
      <c r="A32">
        <f t="shared" si="0"/>
        <v>85</v>
      </c>
      <c r="B32">
        <v>3400</v>
      </c>
      <c r="C32">
        <v>18</v>
      </c>
      <c r="D32">
        <v>27.90729</v>
      </c>
      <c r="E32">
        <f t="shared" si="1"/>
        <v>27.756654000000001</v>
      </c>
      <c r="F32">
        <f t="shared" si="2"/>
        <v>106.111888767</v>
      </c>
      <c r="G32" s="6">
        <f t="shared" si="3"/>
        <v>1.1053321746562501E-2</v>
      </c>
      <c r="H32">
        <f t="shared" si="4"/>
        <v>1061.1188876700003</v>
      </c>
    </row>
    <row r="33" spans="1:8">
      <c r="A33">
        <f t="shared" si="0"/>
        <v>90</v>
      </c>
      <c r="B33">
        <v>3600</v>
      </c>
      <c r="C33">
        <v>19</v>
      </c>
      <c r="D33">
        <v>28.278006000000001</v>
      </c>
      <c r="E33">
        <f t="shared" si="1"/>
        <v>28.127370000000003</v>
      </c>
      <c r="F33">
        <f t="shared" si="2"/>
        <v>107.52146221379999</v>
      </c>
      <c r="G33" s="6">
        <f t="shared" si="3"/>
        <v>1.1200152313937499E-2</v>
      </c>
      <c r="H33">
        <f t="shared" si="4"/>
        <v>1075.2146221379999</v>
      </c>
    </row>
    <row r="34" spans="1:8">
      <c r="A34">
        <f t="shared" si="0"/>
        <v>95</v>
      </c>
      <c r="B34">
        <v>3800</v>
      </c>
      <c r="C34">
        <v>20</v>
      </c>
      <c r="D34">
        <v>28.520064000000001</v>
      </c>
      <c r="E34">
        <f t="shared" si="1"/>
        <v>28.369428000000003</v>
      </c>
      <c r="F34">
        <f t="shared" si="2"/>
        <v>108.4418393472</v>
      </c>
      <c r="G34" s="6">
        <f t="shared" si="3"/>
        <v>1.1296024932E-2</v>
      </c>
      <c r="H34">
        <f t="shared" si="4"/>
        <v>1084.4183934719999</v>
      </c>
    </row>
    <row r="35" spans="1:8">
      <c r="A35">
        <f t="shared" si="0"/>
        <v>100</v>
      </c>
      <c r="B35">
        <v>4000</v>
      </c>
      <c r="C35">
        <v>21</v>
      </c>
      <c r="D35">
        <v>28.517050000000001</v>
      </c>
      <c r="E35">
        <f t="shared" si="1"/>
        <v>28.366414000000002</v>
      </c>
      <c r="F35">
        <f t="shared" si="2"/>
        <v>108.430379215</v>
      </c>
      <c r="G35" s="6">
        <f t="shared" si="3"/>
        <v>1.1294831168229167E-2</v>
      </c>
      <c r="H35">
        <f t="shared" si="4"/>
        <v>1084.3037921500002</v>
      </c>
    </row>
    <row r="43" spans="1:8">
      <c r="D43" t="s">
        <v>4</v>
      </c>
      <c r="G43" s="2"/>
    </row>
    <row r="44" spans="1:8">
      <c r="A44" t="s">
        <v>10</v>
      </c>
      <c r="B44" t="s">
        <v>18</v>
      </c>
      <c r="C44" t="s">
        <v>17</v>
      </c>
      <c r="D44" t="s">
        <v>0</v>
      </c>
      <c r="E44" t="s">
        <v>22</v>
      </c>
      <c r="F44" t="s">
        <v>3</v>
      </c>
      <c r="G44" s="6" t="s">
        <v>25</v>
      </c>
    </row>
    <row r="45" spans="1:8">
      <c r="A45">
        <f>B45/40</f>
        <v>0</v>
      </c>
      <c r="B45">
        <v>0</v>
      </c>
      <c r="C45">
        <v>0</v>
      </c>
      <c r="D45">
        <v>0</v>
      </c>
      <c r="E45">
        <f>D45-$I$2</f>
        <v>-8.6879999999999995E-3</v>
      </c>
      <c r="F45">
        <f>2.3333*E45</f>
        <v>-2.0271710399999997E-2</v>
      </c>
      <c r="G45" s="6">
        <f>F45*10/35.5/1000</f>
        <v>-5.7103409577464779E-6</v>
      </c>
      <c r="H45">
        <f>G45*35.5</f>
        <v>-2.0271710399999995E-4</v>
      </c>
    </row>
    <row r="46" spans="1:8">
      <c r="A46">
        <f t="shared" ref="A46:A66" si="5">B46/40</f>
        <v>0</v>
      </c>
      <c r="B46">
        <v>0</v>
      </c>
      <c r="C46">
        <v>1</v>
      </c>
      <c r="D46">
        <v>5.2873140000000003</v>
      </c>
      <c r="E46">
        <f t="shared" ref="E46:E66" si="6">D46-$I$2</f>
        <v>5.278626</v>
      </c>
      <c r="F46">
        <f t="shared" ref="F46:F66" si="7">2.3333*E46</f>
        <v>12.3166180458</v>
      </c>
      <c r="G46" s="6">
        <f t="shared" ref="G46:G66" si="8">F46*10/35.5/1000</f>
        <v>3.4694698720563379E-3</v>
      </c>
      <c r="H46">
        <f t="shared" ref="H46:H66" si="9">G46*35.5*1000</f>
        <v>123.166180458</v>
      </c>
    </row>
    <row r="47" spans="1:8">
      <c r="A47">
        <f t="shared" si="5"/>
        <v>5</v>
      </c>
      <c r="B47">
        <v>200</v>
      </c>
      <c r="C47">
        <v>2</v>
      </c>
      <c r="D47">
        <v>29.152925</v>
      </c>
      <c r="E47">
        <f t="shared" si="6"/>
        <v>29.144237</v>
      </c>
      <c r="F47">
        <f t="shared" si="7"/>
        <v>68.002248192099998</v>
      </c>
      <c r="G47" s="6">
        <f t="shared" si="8"/>
        <v>1.9155562871014085E-2</v>
      </c>
      <c r="H47">
        <f t="shared" si="9"/>
        <v>680.02248192100001</v>
      </c>
    </row>
    <row r="48" spans="1:8">
      <c r="A48">
        <f t="shared" si="5"/>
        <v>10</v>
      </c>
      <c r="B48">
        <v>400</v>
      </c>
      <c r="C48">
        <v>3</v>
      </c>
      <c r="D48">
        <v>27.078882</v>
      </c>
      <c r="E48">
        <f t="shared" si="6"/>
        <v>27.070194000000001</v>
      </c>
      <c r="F48">
        <f t="shared" si="7"/>
        <v>63.162883660200002</v>
      </c>
      <c r="G48" s="6">
        <f t="shared" si="8"/>
        <v>1.7792361594422535E-2</v>
      </c>
      <c r="H48">
        <f t="shared" si="9"/>
        <v>631.62883660199998</v>
      </c>
    </row>
    <row r="49" spans="1:8">
      <c r="A49">
        <f t="shared" si="5"/>
        <v>15</v>
      </c>
      <c r="B49">
        <v>600</v>
      </c>
      <c r="C49">
        <v>4</v>
      </c>
      <c r="D49">
        <v>22.768476</v>
      </c>
      <c r="E49">
        <f t="shared" si="6"/>
        <v>22.759788</v>
      </c>
      <c r="F49">
        <f t="shared" si="7"/>
        <v>53.105413340399998</v>
      </c>
      <c r="G49" s="6">
        <f t="shared" si="8"/>
        <v>1.4959271363492958E-2</v>
      </c>
      <c r="H49">
        <f t="shared" si="9"/>
        <v>531.05413340400003</v>
      </c>
    </row>
    <row r="50" spans="1:8">
      <c r="A50">
        <f t="shared" si="5"/>
        <v>20</v>
      </c>
      <c r="B50">
        <v>800</v>
      </c>
      <c r="C50">
        <v>5</v>
      </c>
      <c r="D50">
        <v>17.848015</v>
      </c>
      <c r="E50">
        <f t="shared" si="6"/>
        <v>17.839327000000001</v>
      </c>
      <c r="F50">
        <f t="shared" si="7"/>
        <v>41.624501689100001</v>
      </c>
      <c r="G50" s="6">
        <f t="shared" si="8"/>
        <v>1.1725211743408449E-2</v>
      </c>
      <c r="H50">
        <f t="shared" si="9"/>
        <v>416.24501689099992</v>
      </c>
    </row>
    <row r="51" spans="1:8">
      <c r="A51">
        <f t="shared" si="5"/>
        <v>25</v>
      </c>
      <c r="B51">
        <v>1000</v>
      </c>
      <c r="C51">
        <v>6</v>
      </c>
      <c r="D51">
        <v>13.655524</v>
      </c>
      <c r="E51">
        <f t="shared" si="6"/>
        <v>13.646836</v>
      </c>
      <c r="F51">
        <f t="shared" si="7"/>
        <v>31.842162438799999</v>
      </c>
      <c r="G51" s="6">
        <f t="shared" si="8"/>
        <v>8.9696232221971837E-3</v>
      </c>
      <c r="H51">
        <f t="shared" si="9"/>
        <v>318.42162438800005</v>
      </c>
    </row>
    <row r="52" spans="1:8">
      <c r="A52">
        <f t="shared" si="5"/>
        <v>30</v>
      </c>
      <c r="B52">
        <v>1200</v>
      </c>
      <c r="C52">
        <v>7</v>
      </c>
      <c r="D52">
        <v>10.722847</v>
      </c>
      <c r="E52">
        <f t="shared" si="6"/>
        <v>10.714159</v>
      </c>
      <c r="F52">
        <f t="shared" si="7"/>
        <v>24.9993471947</v>
      </c>
      <c r="G52" s="6">
        <f t="shared" si="8"/>
        <v>7.0420696323098596E-3</v>
      </c>
      <c r="H52">
        <f t="shared" si="9"/>
        <v>249.99347194700002</v>
      </c>
    </row>
    <row r="53" spans="1:8">
      <c r="A53">
        <f t="shared" si="5"/>
        <v>35</v>
      </c>
      <c r="B53">
        <v>1400</v>
      </c>
      <c r="C53">
        <v>8</v>
      </c>
      <c r="D53">
        <v>8.3552590000000002</v>
      </c>
      <c r="E53">
        <f t="shared" si="6"/>
        <v>8.3465710000000009</v>
      </c>
      <c r="F53">
        <f t="shared" si="7"/>
        <v>19.475054114300001</v>
      </c>
      <c r="G53" s="6">
        <f t="shared" si="8"/>
        <v>5.4859307364225358E-3</v>
      </c>
      <c r="H53">
        <f t="shared" si="9"/>
        <v>194.75054114300002</v>
      </c>
    </row>
    <row r="54" spans="1:8">
      <c r="A54">
        <f t="shared" si="5"/>
        <v>40</v>
      </c>
      <c r="B54">
        <v>1600</v>
      </c>
      <c r="C54">
        <v>9</v>
      </c>
      <c r="D54">
        <v>6.5142110000000004</v>
      </c>
      <c r="E54">
        <f t="shared" si="6"/>
        <v>6.5055230000000002</v>
      </c>
      <c r="F54">
        <f t="shared" si="7"/>
        <v>15.179336815899999</v>
      </c>
      <c r="G54" s="6">
        <f t="shared" si="8"/>
        <v>4.2758695256056327E-3</v>
      </c>
      <c r="H54">
        <f t="shared" si="9"/>
        <v>151.79336815899995</v>
      </c>
    </row>
    <row r="55" spans="1:8">
      <c r="A55">
        <f t="shared" si="5"/>
        <v>45</v>
      </c>
      <c r="B55">
        <v>1800</v>
      </c>
      <c r="C55">
        <v>10</v>
      </c>
      <c r="D55">
        <v>5.6168209999999998</v>
      </c>
      <c r="E55">
        <f t="shared" si="6"/>
        <v>5.6081329999999996</v>
      </c>
      <c r="F55">
        <f t="shared" si="7"/>
        <v>13.085456728899999</v>
      </c>
      <c r="G55" s="6">
        <f t="shared" si="8"/>
        <v>3.6860441489859151E-3</v>
      </c>
      <c r="H55">
        <f t="shared" si="9"/>
        <v>130.85456728899999</v>
      </c>
    </row>
    <row r="56" spans="1:8">
      <c r="A56">
        <f t="shared" si="5"/>
        <v>50</v>
      </c>
      <c r="B56">
        <v>2000</v>
      </c>
      <c r="C56">
        <v>11</v>
      </c>
      <c r="D56">
        <v>4.2750719999999998</v>
      </c>
      <c r="E56">
        <f t="shared" si="6"/>
        <v>4.2663839999999995</v>
      </c>
      <c r="F56">
        <f t="shared" si="7"/>
        <v>9.9547537871999978</v>
      </c>
      <c r="G56" s="6">
        <f t="shared" si="8"/>
        <v>2.8041559963943655E-3</v>
      </c>
      <c r="H56">
        <f t="shared" si="9"/>
        <v>99.547537871999978</v>
      </c>
    </row>
    <row r="57" spans="1:8">
      <c r="A57">
        <f t="shared" si="5"/>
        <v>55</v>
      </c>
      <c r="B57">
        <v>2200</v>
      </c>
      <c r="C57">
        <v>12</v>
      </c>
      <c r="D57">
        <v>3.4892089999999998</v>
      </c>
      <c r="E57">
        <f t="shared" si="6"/>
        <v>3.480521</v>
      </c>
      <c r="F57">
        <f t="shared" si="7"/>
        <v>8.1210996492999996</v>
      </c>
      <c r="G57" s="6">
        <f t="shared" si="8"/>
        <v>2.287633704028169E-3</v>
      </c>
      <c r="H57">
        <f t="shared" si="9"/>
        <v>81.210996492999996</v>
      </c>
    </row>
    <row r="58" spans="1:8">
      <c r="A58">
        <f t="shared" si="5"/>
        <v>60</v>
      </c>
      <c r="B58">
        <v>2400</v>
      </c>
      <c r="C58">
        <v>13</v>
      </c>
      <c r="D58">
        <v>2.8392300000000001</v>
      </c>
      <c r="E58">
        <f t="shared" si="6"/>
        <v>2.8305420000000003</v>
      </c>
      <c r="F58">
        <f t="shared" si="7"/>
        <v>6.6045036486000006</v>
      </c>
      <c r="G58" s="6">
        <f t="shared" si="8"/>
        <v>1.8604235629859156E-3</v>
      </c>
      <c r="H58">
        <f t="shared" si="9"/>
        <v>66.045036486000001</v>
      </c>
    </row>
    <row r="59" spans="1:8">
      <c r="A59">
        <f t="shared" si="5"/>
        <v>65</v>
      </c>
      <c r="B59">
        <v>2600</v>
      </c>
      <c r="C59">
        <v>14</v>
      </c>
      <c r="D59">
        <v>2.3227159999999998</v>
      </c>
      <c r="E59">
        <f t="shared" si="6"/>
        <v>2.314028</v>
      </c>
      <c r="F59">
        <f t="shared" si="7"/>
        <v>5.3993215324000001</v>
      </c>
      <c r="G59" s="6">
        <f t="shared" si="8"/>
        <v>1.5209356429295776E-3</v>
      </c>
      <c r="H59">
        <f t="shared" si="9"/>
        <v>53.993215324000005</v>
      </c>
    </row>
    <row r="60" spans="1:8">
      <c r="A60">
        <f t="shared" si="5"/>
        <v>70</v>
      </c>
      <c r="B60">
        <v>2800</v>
      </c>
      <c r="C60">
        <v>15</v>
      </c>
      <c r="D60">
        <v>1.919305</v>
      </c>
      <c r="E60">
        <f t="shared" si="6"/>
        <v>1.910617</v>
      </c>
      <c r="F60">
        <f t="shared" si="7"/>
        <v>4.4580426461</v>
      </c>
      <c r="G60" s="6">
        <f t="shared" si="8"/>
        <v>1.2557866608732394E-3</v>
      </c>
      <c r="H60">
        <f t="shared" si="9"/>
        <v>44.580426461000002</v>
      </c>
    </row>
    <row r="61" spans="1:8">
      <c r="A61">
        <f t="shared" si="5"/>
        <v>75</v>
      </c>
      <c r="B61">
        <v>3000</v>
      </c>
      <c r="C61">
        <v>16</v>
      </c>
      <c r="D61">
        <v>1.5941320000000001</v>
      </c>
      <c r="E61">
        <f t="shared" si="6"/>
        <v>1.5854440000000001</v>
      </c>
      <c r="F61">
        <f t="shared" si="7"/>
        <v>3.6993164852000002</v>
      </c>
      <c r="G61" s="6">
        <f t="shared" si="8"/>
        <v>1.0420609817464789E-3</v>
      </c>
      <c r="H61">
        <f t="shared" si="9"/>
        <v>36.993164852</v>
      </c>
    </row>
    <row r="62" spans="1:8">
      <c r="A62">
        <f t="shared" si="5"/>
        <v>80</v>
      </c>
      <c r="B62">
        <v>3200</v>
      </c>
      <c r="C62">
        <v>17</v>
      </c>
      <c r="D62">
        <v>1.3539779999999999</v>
      </c>
      <c r="E62">
        <f t="shared" si="6"/>
        <v>1.3452899999999999</v>
      </c>
      <c r="F62">
        <f t="shared" si="7"/>
        <v>3.1389651569999995</v>
      </c>
      <c r="G62" s="6">
        <f t="shared" si="8"/>
        <v>8.842155371830984E-4</v>
      </c>
      <c r="H62">
        <f t="shared" si="9"/>
        <v>31.389651569999995</v>
      </c>
    </row>
    <row r="63" spans="1:8">
      <c r="A63">
        <f t="shared" si="5"/>
        <v>85</v>
      </c>
      <c r="B63">
        <v>3400</v>
      </c>
      <c r="C63">
        <v>18</v>
      </c>
      <c r="D63">
        <v>1.13995</v>
      </c>
      <c r="E63">
        <f t="shared" si="6"/>
        <v>1.131262</v>
      </c>
      <c r="F63">
        <f t="shared" si="7"/>
        <v>2.6395736246000001</v>
      </c>
      <c r="G63" s="6">
        <f t="shared" si="8"/>
        <v>7.4354186608450708E-4</v>
      </c>
      <c r="H63">
        <f t="shared" si="9"/>
        <v>26.395736246000002</v>
      </c>
    </row>
    <row r="64" spans="1:8">
      <c r="A64">
        <f t="shared" si="5"/>
        <v>90</v>
      </c>
      <c r="B64">
        <v>3600</v>
      </c>
      <c r="C64">
        <v>19</v>
      </c>
      <c r="D64">
        <v>0.95430800000000005</v>
      </c>
      <c r="E64">
        <f t="shared" si="6"/>
        <v>0.94562000000000002</v>
      </c>
      <c r="F64">
        <f t="shared" si="7"/>
        <v>2.2064151459999999</v>
      </c>
      <c r="G64" s="6">
        <f t="shared" si="8"/>
        <v>6.2152539323943662E-4</v>
      </c>
      <c r="H64">
        <f t="shared" si="9"/>
        <v>22.064151460000001</v>
      </c>
    </row>
    <row r="65" spans="1:8">
      <c r="A65">
        <f t="shared" si="5"/>
        <v>95</v>
      </c>
      <c r="B65">
        <v>3800</v>
      </c>
      <c r="C65">
        <v>20</v>
      </c>
      <c r="D65">
        <v>0.809755</v>
      </c>
      <c r="E65">
        <f t="shared" si="6"/>
        <v>0.80106699999999997</v>
      </c>
      <c r="F65">
        <f t="shared" si="7"/>
        <v>1.8691296310999999</v>
      </c>
      <c r="G65" s="6">
        <f t="shared" si="8"/>
        <v>5.2651538904225346E-4</v>
      </c>
      <c r="H65">
        <f t="shared" si="9"/>
        <v>18.691296310999995</v>
      </c>
    </row>
    <row r="66" spans="1:8">
      <c r="A66">
        <f t="shared" si="5"/>
        <v>100</v>
      </c>
      <c r="B66">
        <v>4000</v>
      </c>
      <c r="C66">
        <v>21</v>
      </c>
      <c r="D66">
        <v>0.68458399999999997</v>
      </c>
      <c r="E66">
        <f t="shared" si="6"/>
        <v>0.67589599999999994</v>
      </c>
      <c r="F66">
        <f t="shared" si="7"/>
        <v>1.5770681367999999</v>
      </c>
      <c r="G66" s="6">
        <f t="shared" si="8"/>
        <v>4.4424454557746471E-4</v>
      </c>
      <c r="H66">
        <f t="shared" si="9"/>
        <v>15.770681367999996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351DB-2FDC-4E81-A8C3-7D0F8C82AA28}">
  <dimension ref="A1:L66"/>
  <sheetViews>
    <sheetView workbookViewId="0"/>
  </sheetViews>
  <sheetFormatPr defaultRowHeight="14.5"/>
  <cols>
    <col min="4" max="4" width="18.90625" customWidth="1"/>
    <col min="5" max="5" width="15.7265625" customWidth="1"/>
    <col min="6" max="6" width="17.36328125" style="6" customWidth="1"/>
    <col min="7" max="7" width="13.453125" customWidth="1"/>
    <col min="8" max="8" width="9.81640625" customWidth="1"/>
    <col min="9" max="9" width="17.453125" customWidth="1"/>
    <col min="12" max="12" width="15.453125" customWidth="1"/>
  </cols>
  <sheetData>
    <row r="1" spans="1:10">
      <c r="A1" t="s">
        <v>28</v>
      </c>
      <c r="H1" t="s">
        <v>20</v>
      </c>
      <c r="I1" t="s">
        <v>21</v>
      </c>
    </row>
    <row r="2" spans="1:10">
      <c r="A2" t="s">
        <v>5</v>
      </c>
      <c r="B2" t="s">
        <v>0</v>
      </c>
      <c r="C2" t="s">
        <v>1</v>
      </c>
      <c r="D2" s="6"/>
      <c r="E2" t="s">
        <v>4</v>
      </c>
      <c r="F2" t="s">
        <v>0</v>
      </c>
      <c r="G2" t="s">
        <v>1</v>
      </c>
      <c r="H2">
        <v>0</v>
      </c>
      <c r="I2">
        <v>0</v>
      </c>
    </row>
    <row r="3" spans="1:10">
      <c r="B3" s="4">
        <v>0</v>
      </c>
      <c r="C3">
        <v>0</v>
      </c>
      <c r="D3" s="6"/>
      <c r="F3" s="4">
        <v>0</v>
      </c>
      <c r="G3">
        <v>0</v>
      </c>
    </row>
    <row r="4" spans="1:10">
      <c r="B4" s="4">
        <v>1.3046469999999999</v>
      </c>
      <c r="C4">
        <v>5</v>
      </c>
      <c r="D4" s="6"/>
      <c r="F4" s="3">
        <v>0.32803100000000002</v>
      </c>
      <c r="G4">
        <v>1</v>
      </c>
    </row>
    <row r="5" spans="1:10">
      <c r="B5" s="4">
        <v>2.7142870000000001</v>
      </c>
      <c r="C5">
        <v>10</v>
      </c>
      <c r="D5" s="6"/>
      <c r="F5" s="3">
        <v>1.8007679999999999</v>
      </c>
      <c r="G5">
        <v>5</v>
      </c>
    </row>
    <row r="6" spans="1:10">
      <c r="B6" s="4">
        <v>3.994078</v>
      </c>
      <c r="C6">
        <v>15</v>
      </c>
      <c r="D6" s="6"/>
      <c r="F6" s="3">
        <v>3.8258749999999999</v>
      </c>
      <c r="G6">
        <v>10</v>
      </c>
    </row>
    <row r="7" spans="1:10">
      <c r="B7" s="4">
        <v>6.907432</v>
      </c>
      <c r="C7">
        <v>25</v>
      </c>
      <c r="D7" s="6"/>
      <c r="F7" s="3">
        <v>8.0720419999999997</v>
      </c>
      <c r="G7">
        <v>20</v>
      </c>
    </row>
    <row r="8" spans="1:10">
      <c r="B8" s="3"/>
      <c r="D8" s="6"/>
      <c r="F8" s="3">
        <v>43.461542999999999</v>
      </c>
      <c r="G8">
        <v>100</v>
      </c>
    </row>
    <row r="12" spans="1:10">
      <c r="D12" t="s">
        <v>5</v>
      </c>
    </row>
    <row r="13" spans="1:10">
      <c r="A13" t="s">
        <v>10</v>
      </c>
      <c r="B13" t="s">
        <v>18</v>
      </c>
      <c r="C13" t="s">
        <v>17</v>
      </c>
      <c r="D13" t="s">
        <v>0</v>
      </c>
      <c r="E13" t="s">
        <v>22</v>
      </c>
      <c r="F13" t="s">
        <v>3</v>
      </c>
      <c r="G13" s="6" t="s">
        <v>12</v>
      </c>
      <c r="H13" s="1" t="s">
        <v>13</v>
      </c>
      <c r="J13" s="2"/>
    </row>
    <row r="14" spans="1:10">
      <c r="A14">
        <f>B14/40</f>
        <v>0</v>
      </c>
      <c r="B14">
        <v>0</v>
      </c>
      <c r="C14">
        <v>0</v>
      </c>
      <c r="D14">
        <v>8.8058999999999998E-2</v>
      </c>
      <c r="E14">
        <f>0</f>
        <v>0</v>
      </c>
      <c r="F14">
        <f>3.6607*E14</f>
        <v>0</v>
      </c>
      <c r="G14" s="6">
        <f>F14*20/96/1000</f>
        <v>0</v>
      </c>
      <c r="H14">
        <f>G14*96*1000</f>
        <v>0</v>
      </c>
    </row>
    <row r="15" spans="1:10">
      <c r="A15">
        <f t="shared" ref="A15:A35" si="0">B15/40</f>
        <v>0</v>
      </c>
      <c r="B15">
        <v>0</v>
      </c>
      <c r="C15">
        <v>1</v>
      </c>
      <c r="D15">
        <v>13.514093000000001</v>
      </c>
      <c r="E15">
        <f t="shared" ref="E15:E35" si="1">D15-$H$2</f>
        <v>13.514093000000001</v>
      </c>
      <c r="F15">
        <f t="shared" ref="F15:F35" si="2">3.6607*E15</f>
        <v>49.471040245099999</v>
      </c>
      <c r="G15" s="6">
        <f t="shared" ref="G15:G35" si="3">F15*20/96/1000</f>
        <v>1.0306466717729166E-2</v>
      </c>
      <c r="H15">
        <f t="shared" ref="H15:H35" si="4">G15*96*1000</f>
        <v>989.42080490199987</v>
      </c>
    </row>
    <row r="16" spans="1:10">
      <c r="A16">
        <f t="shared" si="0"/>
        <v>5</v>
      </c>
      <c r="B16">
        <v>200</v>
      </c>
      <c r="C16">
        <v>2</v>
      </c>
      <c r="D16">
        <v>17.984107999999999</v>
      </c>
      <c r="E16">
        <f t="shared" si="1"/>
        <v>17.984107999999999</v>
      </c>
      <c r="F16">
        <f t="shared" si="2"/>
        <v>65.83442415559999</v>
      </c>
      <c r="G16" s="6">
        <f t="shared" si="3"/>
        <v>1.3715505032416666E-2</v>
      </c>
      <c r="H16">
        <f t="shared" si="4"/>
        <v>1316.6884831119999</v>
      </c>
    </row>
    <row r="17" spans="1:9">
      <c r="A17">
        <f t="shared" si="0"/>
        <v>10</v>
      </c>
      <c r="B17">
        <v>400</v>
      </c>
      <c r="C17">
        <v>3</v>
      </c>
      <c r="D17">
        <v>18.586874999999999</v>
      </c>
      <c r="E17">
        <f t="shared" si="1"/>
        <v>18.586874999999999</v>
      </c>
      <c r="F17">
        <f t="shared" si="2"/>
        <v>68.0409733125</v>
      </c>
      <c r="G17" s="6">
        <f t="shared" si="3"/>
        <v>1.4175202773437499E-2</v>
      </c>
      <c r="H17">
        <f t="shared" si="4"/>
        <v>1360.81946625</v>
      </c>
    </row>
    <row r="18" spans="1:9">
      <c r="A18">
        <f t="shared" si="0"/>
        <v>15</v>
      </c>
      <c r="B18">
        <v>600</v>
      </c>
      <c r="C18">
        <v>4</v>
      </c>
      <c r="D18">
        <v>17.780975000000002</v>
      </c>
      <c r="E18">
        <f t="shared" si="1"/>
        <v>17.780975000000002</v>
      </c>
      <c r="F18">
        <f t="shared" si="2"/>
        <v>65.090815182500009</v>
      </c>
      <c r="G18" s="6">
        <f t="shared" si="3"/>
        <v>1.3560586496354169E-2</v>
      </c>
      <c r="H18">
        <f t="shared" si="4"/>
        <v>1301.8163036500002</v>
      </c>
    </row>
    <row r="19" spans="1:9">
      <c r="A19">
        <f t="shared" si="0"/>
        <v>20</v>
      </c>
      <c r="B19">
        <v>800</v>
      </c>
      <c r="C19">
        <v>5</v>
      </c>
      <c r="D19">
        <v>14.248462999999999</v>
      </c>
      <c r="E19">
        <f t="shared" si="1"/>
        <v>14.248462999999999</v>
      </c>
      <c r="F19">
        <f t="shared" si="2"/>
        <v>52.159348504099995</v>
      </c>
      <c r="G19" s="6">
        <f t="shared" si="3"/>
        <v>1.0866530938354164E-2</v>
      </c>
      <c r="H19">
        <f t="shared" si="4"/>
        <v>1043.1869700819998</v>
      </c>
    </row>
    <row r="20" spans="1:9">
      <c r="A20">
        <f t="shared" si="0"/>
        <v>25</v>
      </c>
      <c r="B20">
        <v>1000</v>
      </c>
      <c r="C20">
        <v>6</v>
      </c>
      <c r="D20">
        <v>10.797779</v>
      </c>
      <c r="E20">
        <f t="shared" si="1"/>
        <v>10.797779</v>
      </c>
      <c r="F20">
        <f t="shared" si="2"/>
        <v>39.527429585299998</v>
      </c>
      <c r="G20" s="6">
        <f t="shared" si="3"/>
        <v>8.2348811636041661E-3</v>
      </c>
      <c r="H20">
        <f t="shared" si="4"/>
        <v>790.54859170600002</v>
      </c>
    </row>
    <row r="21" spans="1:9">
      <c r="A21">
        <f t="shared" si="0"/>
        <v>30</v>
      </c>
      <c r="B21">
        <v>1200</v>
      </c>
      <c r="C21">
        <v>7</v>
      </c>
      <c r="D21">
        <v>7.4149729999999998</v>
      </c>
      <c r="E21">
        <f t="shared" si="1"/>
        <v>7.4149729999999998</v>
      </c>
      <c r="F21">
        <f t="shared" si="2"/>
        <v>27.143991661099999</v>
      </c>
      <c r="G21" s="6">
        <f t="shared" si="3"/>
        <v>5.6549982627291662E-3</v>
      </c>
      <c r="H21">
        <f t="shared" si="4"/>
        <v>542.879833222</v>
      </c>
    </row>
    <row r="22" spans="1:9">
      <c r="A22">
        <f t="shared" si="0"/>
        <v>35</v>
      </c>
      <c r="B22">
        <v>1400</v>
      </c>
      <c r="C22">
        <v>8</v>
      </c>
      <c r="D22">
        <v>4.831251</v>
      </c>
      <c r="E22">
        <f t="shared" si="1"/>
        <v>4.831251</v>
      </c>
      <c r="F22">
        <f t="shared" si="2"/>
        <v>17.685760535699998</v>
      </c>
      <c r="G22" s="6">
        <f t="shared" si="3"/>
        <v>3.6845334449374999E-3</v>
      </c>
      <c r="H22">
        <f t="shared" si="4"/>
        <v>353.71521071399997</v>
      </c>
    </row>
    <row r="23" spans="1:9">
      <c r="A23">
        <f t="shared" si="0"/>
        <v>40</v>
      </c>
      <c r="B23">
        <v>1600</v>
      </c>
      <c r="C23">
        <v>9</v>
      </c>
      <c r="D23">
        <v>3.363823</v>
      </c>
      <c r="E23">
        <f t="shared" si="1"/>
        <v>3.363823</v>
      </c>
      <c r="F23">
        <f t="shared" si="2"/>
        <v>12.313946856099999</v>
      </c>
      <c r="G23" s="6">
        <f t="shared" si="3"/>
        <v>2.5654055950208332E-3</v>
      </c>
      <c r="H23">
        <f t="shared" si="4"/>
        <v>246.278937122</v>
      </c>
    </row>
    <row r="24" spans="1:9">
      <c r="A24">
        <f t="shared" si="0"/>
        <v>45</v>
      </c>
      <c r="B24">
        <v>1800</v>
      </c>
      <c r="C24">
        <v>10</v>
      </c>
      <c r="D24">
        <v>2.2656900000000002</v>
      </c>
      <c r="E24">
        <f t="shared" si="1"/>
        <v>2.2656900000000002</v>
      </c>
      <c r="F24">
        <f t="shared" si="2"/>
        <v>8.2940113830000008</v>
      </c>
      <c r="G24" s="6">
        <f t="shared" si="3"/>
        <v>1.727919038125E-3</v>
      </c>
      <c r="H24">
        <f t="shared" si="4"/>
        <v>165.88022766</v>
      </c>
    </row>
    <row r="25" spans="1:9">
      <c r="A25">
        <f t="shared" si="0"/>
        <v>50</v>
      </c>
      <c r="B25">
        <v>2000</v>
      </c>
      <c r="C25">
        <v>11</v>
      </c>
      <c r="D25">
        <v>1.5328189999999999</v>
      </c>
      <c r="E25">
        <f t="shared" si="1"/>
        <v>1.5328189999999999</v>
      </c>
      <c r="F25">
        <f t="shared" si="2"/>
        <v>5.6111905132999995</v>
      </c>
      <c r="G25" s="6">
        <f t="shared" si="3"/>
        <v>1.1689980236041667E-3</v>
      </c>
      <c r="H25">
        <f t="shared" si="4"/>
        <v>112.223810266</v>
      </c>
    </row>
    <row r="26" spans="1:9">
      <c r="A26">
        <f t="shared" si="0"/>
        <v>55</v>
      </c>
      <c r="B26">
        <v>2200</v>
      </c>
      <c r="C26">
        <v>12</v>
      </c>
      <c r="D26">
        <v>1.1618459999999999</v>
      </c>
      <c r="E26">
        <f t="shared" si="1"/>
        <v>1.1618459999999999</v>
      </c>
      <c r="F26">
        <f t="shared" si="2"/>
        <v>4.2531696521999995</v>
      </c>
      <c r="G26" s="6">
        <f t="shared" si="3"/>
        <v>8.8607701087499988E-4</v>
      </c>
      <c r="H26">
        <f t="shared" si="4"/>
        <v>85.06339304399998</v>
      </c>
      <c r="I26" s="2"/>
    </row>
    <row r="27" spans="1:9">
      <c r="A27">
        <f t="shared" si="0"/>
        <v>60</v>
      </c>
      <c r="B27">
        <v>2400</v>
      </c>
      <c r="C27">
        <v>13</v>
      </c>
      <c r="D27">
        <v>0.88338499999999998</v>
      </c>
      <c r="E27">
        <f t="shared" si="1"/>
        <v>0.88338499999999998</v>
      </c>
      <c r="F27">
        <f t="shared" si="2"/>
        <v>3.2338074694999999</v>
      </c>
      <c r="G27" s="6">
        <f t="shared" si="3"/>
        <v>6.7370988947916652E-4</v>
      </c>
      <c r="H27">
        <f t="shared" si="4"/>
        <v>64.676149389999992</v>
      </c>
      <c r="I27" s="2"/>
    </row>
    <row r="28" spans="1:9">
      <c r="A28">
        <f t="shared" si="0"/>
        <v>65</v>
      </c>
      <c r="B28">
        <v>2600</v>
      </c>
      <c r="C28">
        <v>14</v>
      </c>
      <c r="D28">
        <v>0.68230599999999997</v>
      </c>
      <c r="E28">
        <f t="shared" si="1"/>
        <v>0.68230599999999997</v>
      </c>
      <c r="F28">
        <f t="shared" si="2"/>
        <v>2.4977175741999997</v>
      </c>
      <c r="G28" s="6">
        <f t="shared" si="3"/>
        <v>5.2035782795833334E-4</v>
      </c>
      <c r="H28">
        <f t="shared" si="4"/>
        <v>49.954351484</v>
      </c>
    </row>
    <row r="29" spans="1:9">
      <c r="A29">
        <f t="shared" si="0"/>
        <v>70</v>
      </c>
      <c r="B29">
        <v>2800</v>
      </c>
      <c r="C29">
        <v>15</v>
      </c>
      <c r="D29">
        <v>0.53872100000000001</v>
      </c>
      <c r="E29">
        <f t="shared" si="1"/>
        <v>0.53872100000000001</v>
      </c>
      <c r="F29">
        <f t="shared" si="2"/>
        <v>1.9720959647</v>
      </c>
      <c r="G29" s="6">
        <f t="shared" si="3"/>
        <v>4.1085332597916671E-4</v>
      </c>
      <c r="H29">
        <f t="shared" si="4"/>
        <v>39.441919294000002</v>
      </c>
    </row>
    <row r="30" spans="1:9">
      <c r="A30">
        <f t="shared" si="0"/>
        <v>75</v>
      </c>
      <c r="B30">
        <v>3000</v>
      </c>
      <c r="C30">
        <v>16</v>
      </c>
      <c r="D30">
        <v>0.426875</v>
      </c>
      <c r="E30">
        <f t="shared" si="1"/>
        <v>0.426875</v>
      </c>
      <c r="F30">
        <f t="shared" si="2"/>
        <v>1.5626613125</v>
      </c>
      <c r="G30" s="6">
        <f t="shared" si="3"/>
        <v>3.2555444010416663E-4</v>
      </c>
      <c r="H30">
        <f t="shared" si="4"/>
        <v>31.253226249999994</v>
      </c>
    </row>
    <row r="31" spans="1:9">
      <c r="A31">
        <f t="shared" si="0"/>
        <v>80</v>
      </c>
      <c r="B31">
        <v>3200</v>
      </c>
      <c r="C31">
        <v>17</v>
      </c>
      <c r="D31">
        <v>0.34479700000000002</v>
      </c>
      <c r="E31">
        <f t="shared" si="1"/>
        <v>0.34479700000000002</v>
      </c>
      <c r="F31">
        <f t="shared" si="2"/>
        <v>1.2621983779000001</v>
      </c>
      <c r="G31" s="6">
        <f t="shared" si="3"/>
        <v>2.6295799539583338E-4</v>
      </c>
      <c r="H31">
        <f t="shared" si="4"/>
        <v>25.243967558000005</v>
      </c>
    </row>
    <row r="32" spans="1:9">
      <c r="A32">
        <f t="shared" si="0"/>
        <v>85</v>
      </c>
      <c r="B32">
        <v>3400</v>
      </c>
      <c r="C32">
        <v>18</v>
      </c>
      <c r="D32">
        <v>0.29139500000000002</v>
      </c>
      <c r="E32">
        <f t="shared" si="1"/>
        <v>0.29139500000000002</v>
      </c>
      <c r="F32">
        <f t="shared" si="2"/>
        <v>1.0667096764999999</v>
      </c>
      <c r="G32" s="6">
        <f t="shared" si="3"/>
        <v>2.2223118260416666E-4</v>
      </c>
      <c r="H32">
        <f t="shared" si="4"/>
        <v>21.33419353</v>
      </c>
    </row>
    <row r="33" spans="1:8">
      <c r="A33">
        <f t="shared" si="0"/>
        <v>90</v>
      </c>
      <c r="B33">
        <v>3600</v>
      </c>
      <c r="C33">
        <v>19</v>
      </c>
      <c r="D33">
        <v>0.24146999999999999</v>
      </c>
      <c r="E33">
        <f t="shared" si="1"/>
        <v>0.24146999999999999</v>
      </c>
      <c r="F33">
        <f t="shared" si="2"/>
        <v>0.88394922899999995</v>
      </c>
      <c r="G33" s="6">
        <f t="shared" si="3"/>
        <v>1.8415608937499996E-4</v>
      </c>
      <c r="H33">
        <f t="shared" si="4"/>
        <v>17.678984579999995</v>
      </c>
    </row>
    <row r="34" spans="1:8">
      <c r="A34">
        <f t="shared" si="0"/>
        <v>95</v>
      </c>
      <c r="B34">
        <v>3800</v>
      </c>
      <c r="C34">
        <v>20</v>
      </c>
      <c r="D34">
        <v>0.21301200000000001</v>
      </c>
      <c r="E34">
        <f t="shared" si="1"/>
        <v>0.21301200000000001</v>
      </c>
      <c r="F34">
        <f t="shared" si="2"/>
        <v>0.77977302839999996</v>
      </c>
      <c r="G34" s="6">
        <f t="shared" si="3"/>
        <v>1.6245271424999999E-4</v>
      </c>
      <c r="H34">
        <f t="shared" si="4"/>
        <v>15.595460568</v>
      </c>
    </row>
    <row r="35" spans="1:8">
      <c r="A35">
        <f t="shared" si="0"/>
        <v>100</v>
      </c>
      <c r="B35">
        <v>4000</v>
      </c>
      <c r="C35">
        <v>21</v>
      </c>
      <c r="D35">
        <v>0.19819000000000001</v>
      </c>
      <c r="E35">
        <f t="shared" si="1"/>
        <v>0.19819000000000001</v>
      </c>
      <c r="F35">
        <f t="shared" si="2"/>
        <v>0.72551413300000001</v>
      </c>
      <c r="G35" s="6">
        <f t="shared" si="3"/>
        <v>1.5114877770833332E-4</v>
      </c>
      <c r="H35">
        <f t="shared" si="4"/>
        <v>14.510282659999998</v>
      </c>
    </row>
    <row r="43" spans="1:8">
      <c r="D43" t="s">
        <v>4</v>
      </c>
      <c r="G43" s="2"/>
    </row>
    <row r="44" spans="1:8">
      <c r="A44" t="s">
        <v>10</v>
      </c>
      <c r="B44" t="s">
        <v>18</v>
      </c>
      <c r="C44" t="s">
        <v>17</v>
      </c>
      <c r="D44" t="s">
        <v>0</v>
      </c>
      <c r="E44" t="s">
        <v>22</v>
      </c>
      <c r="F44" t="s">
        <v>3</v>
      </c>
      <c r="G44" s="6" t="s">
        <v>12</v>
      </c>
    </row>
    <row r="45" spans="1:8">
      <c r="A45">
        <f>B45/40</f>
        <v>0</v>
      </c>
      <c r="B45">
        <v>0</v>
      </c>
      <c r="C45">
        <v>0</v>
      </c>
      <c r="D45">
        <v>19.802212000000001</v>
      </c>
      <c r="E45">
        <f>D45-$I$2</f>
        <v>19.802212000000001</v>
      </c>
      <c r="F45">
        <f>2.3099*E45</f>
        <v>45.741129498799999</v>
      </c>
      <c r="G45" s="6">
        <f>F45*20/35.5/1000</f>
        <v>2.5769650421859153E-2</v>
      </c>
      <c r="H45">
        <f>G45*35.5*1000</f>
        <v>914.82258997600002</v>
      </c>
    </row>
    <row r="46" spans="1:8">
      <c r="A46">
        <f t="shared" ref="A46:A66" si="5">B46/40</f>
        <v>0</v>
      </c>
      <c r="B46">
        <v>0</v>
      </c>
      <c r="C46">
        <v>1</v>
      </c>
      <c r="D46">
        <v>0.52641300000000002</v>
      </c>
      <c r="E46">
        <f t="shared" ref="E46:E66" si="6">D46-$I$2</f>
        <v>0.52641300000000002</v>
      </c>
      <c r="F46">
        <f t="shared" ref="F46:F66" si="7">2.3099*E46</f>
        <v>1.2159613887</v>
      </c>
      <c r="G46" s="6">
        <f t="shared" ref="G46:G66" si="8">F46*20/35.5/1000</f>
        <v>6.8504866969014086E-4</v>
      </c>
      <c r="H46">
        <f t="shared" ref="H46:H66" si="9">G46*35.5*1000</f>
        <v>24.319227774000002</v>
      </c>
    </row>
    <row r="47" spans="1:8">
      <c r="A47">
        <f t="shared" si="5"/>
        <v>5</v>
      </c>
      <c r="B47">
        <v>200</v>
      </c>
      <c r="C47">
        <v>2</v>
      </c>
      <c r="D47">
        <v>0.376888</v>
      </c>
      <c r="E47">
        <f t="shared" si="6"/>
        <v>0.376888</v>
      </c>
      <c r="F47">
        <f t="shared" si="7"/>
        <v>0.8705735912</v>
      </c>
      <c r="G47" s="6">
        <f t="shared" si="8"/>
        <v>4.9046399504225357E-4</v>
      </c>
      <c r="H47">
        <f t="shared" si="9"/>
        <v>17.411471824000003</v>
      </c>
    </row>
    <row r="48" spans="1:8">
      <c r="A48">
        <f t="shared" si="5"/>
        <v>10</v>
      </c>
      <c r="B48">
        <v>400</v>
      </c>
      <c r="C48">
        <v>3</v>
      </c>
      <c r="D48">
        <v>0.48879</v>
      </c>
      <c r="E48">
        <f t="shared" si="6"/>
        <v>0.48879</v>
      </c>
      <c r="F48">
        <f t="shared" si="7"/>
        <v>1.129056021</v>
      </c>
      <c r="G48" s="6">
        <f t="shared" si="8"/>
        <v>6.3608789915492957E-4</v>
      </c>
      <c r="H48">
        <f t="shared" si="9"/>
        <v>22.581120420000001</v>
      </c>
    </row>
    <row r="49" spans="1:12">
      <c r="A49">
        <f t="shared" si="5"/>
        <v>15</v>
      </c>
      <c r="B49">
        <v>600</v>
      </c>
      <c r="C49">
        <v>4</v>
      </c>
      <c r="D49">
        <v>1.488205</v>
      </c>
      <c r="E49">
        <f t="shared" si="6"/>
        <v>1.488205</v>
      </c>
      <c r="F49">
        <f t="shared" si="7"/>
        <v>3.4376047294999998</v>
      </c>
      <c r="G49" s="6">
        <f t="shared" si="8"/>
        <v>1.9366787208450703E-3</v>
      </c>
      <c r="H49">
        <f t="shared" si="9"/>
        <v>68.752094589999999</v>
      </c>
    </row>
    <row r="50" spans="1:12">
      <c r="A50">
        <f t="shared" si="5"/>
        <v>20</v>
      </c>
      <c r="B50">
        <v>800</v>
      </c>
      <c r="C50">
        <v>5</v>
      </c>
      <c r="D50">
        <v>4.8424379999999996</v>
      </c>
      <c r="E50">
        <f t="shared" si="6"/>
        <v>4.8424379999999996</v>
      </c>
      <c r="F50">
        <f t="shared" si="7"/>
        <v>11.185547536199998</v>
      </c>
      <c r="G50" s="6">
        <f t="shared" si="8"/>
        <v>6.3017169218028152E-3</v>
      </c>
      <c r="H50">
        <f t="shared" si="9"/>
        <v>223.71095072399993</v>
      </c>
    </row>
    <row r="51" spans="1:12">
      <c r="A51">
        <f t="shared" si="5"/>
        <v>25</v>
      </c>
      <c r="B51">
        <v>1000</v>
      </c>
      <c r="C51">
        <v>6</v>
      </c>
      <c r="D51">
        <v>8.0878180000000004</v>
      </c>
      <c r="E51">
        <f t="shared" si="6"/>
        <v>8.0878180000000004</v>
      </c>
      <c r="F51">
        <f t="shared" si="7"/>
        <v>18.682050798199999</v>
      </c>
      <c r="G51" s="6">
        <f t="shared" si="8"/>
        <v>1.0525099041239435E-2</v>
      </c>
      <c r="H51">
        <f t="shared" si="9"/>
        <v>373.64101596399996</v>
      </c>
    </row>
    <row r="52" spans="1:12">
      <c r="A52">
        <f t="shared" si="5"/>
        <v>30</v>
      </c>
      <c r="B52">
        <v>1200</v>
      </c>
      <c r="C52">
        <v>7</v>
      </c>
      <c r="D52">
        <v>11.821491999999999</v>
      </c>
      <c r="E52">
        <f t="shared" si="6"/>
        <v>11.821491999999999</v>
      </c>
      <c r="F52">
        <f t="shared" si="7"/>
        <v>27.306464370799997</v>
      </c>
      <c r="G52" s="6">
        <f t="shared" si="8"/>
        <v>1.5383923589183097E-2</v>
      </c>
      <c r="H52">
        <f t="shared" si="9"/>
        <v>546.12928741600001</v>
      </c>
    </row>
    <row r="53" spans="1:12">
      <c r="A53">
        <f t="shared" si="5"/>
        <v>35</v>
      </c>
      <c r="B53">
        <v>1400</v>
      </c>
      <c r="C53">
        <v>8</v>
      </c>
      <c r="D53">
        <v>14.312806</v>
      </c>
      <c r="E53">
        <f t="shared" si="6"/>
        <v>14.312806</v>
      </c>
      <c r="F53">
        <f t="shared" si="7"/>
        <v>33.0611505794</v>
      </c>
      <c r="G53" s="6">
        <f t="shared" si="8"/>
        <v>1.8626000326422535E-2</v>
      </c>
      <c r="H53">
        <f t="shared" si="9"/>
        <v>661.22301158799996</v>
      </c>
    </row>
    <row r="54" spans="1:12">
      <c r="A54">
        <f t="shared" si="5"/>
        <v>40</v>
      </c>
      <c r="B54">
        <v>1600</v>
      </c>
      <c r="C54">
        <v>9</v>
      </c>
      <c r="D54">
        <v>16.046993000000001</v>
      </c>
      <c r="E54">
        <f t="shared" si="6"/>
        <v>16.046993000000001</v>
      </c>
      <c r="F54">
        <f t="shared" si="7"/>
        <v>37.066949130699996</v>
      </c>
      <c r="G54" s="6">
        <f t="shared" si="8"/>
        <v>2.0882788242647884E-2</v>
      </c>
      <c r="H54">
        <f t="shared" si="9"/>
        <v>741.33898261399986</v>
      </c>
    </row>
    <row r="55" spans="1:12">
      <c r="A55">
        <f t="shared" si="5"/>
        <v>45</v>
      </c>
      <c r="B55">
        <v>1800</v>
      </c>
      <c r="C55">
        <v>10</v>
      </c>
      <c r="D55">
        <v>17.368687000000001</v>
      </c>
      <c r="E55">
        <f t="shared" si="6"/>
        <v>17.368687000000001</v>
      </c>
      <c r="F55">
        <f t="shared" si="7"/>
        <v>40.1199301013</v>
      </c>
      <c r="G55" s="6">
        <f t="shared" si="8"/>
        <v>2.2602777521859154E-2</v>
      </c>
      <c r="H55">
        <f t="shared" si="9"/>
        <v>802.39860202600005</v>
      </c>
    </row>
    <row r="56" spans="1:12">
      <c r="A56">
        <f t="shared" si="5"/>
        <v>50</v>
      </c>
      <c r="B56">
        <v>2000</v>
      </c>
      <c r="C56">
        <v>11</v>
      </c>
      <c r="D56">
        <v>17.998334</v>
      </c>
      <c r="E56">
        <f t="shared" si="6"/>
        <v>17.998334</v>
      </c>
      <c r="F56">
        <f t="shared" si="7"/>
        <v>41.574351706599998</v>
      </c>
      <c r="G56" s="6">
        <f t="shared" si="8"/>
        <v>2.3422169975549294E-2</v>
      </c>
      <c r="H56">
        <f t="shared" si="9"/>
        <v>831.48703413199996</v>
      </c>
    </row>
    <row r="57" spans="1:12">
      <c r="A57">
        <f t="shared" si="5"/>
        <v>55</v>
      </c>
      <c r="B57">
        <v>2200</v>
      </c>
      <c r="C57">
        <v>12</v>
      </c>
      <c r="D57">
        <v>18.446278</v>
      </c>
      <c r="E57">
        <f t="shared" si="6"/>
        <v>18.446278</v>
      </c>
      <c r="F57">
        <f t="shared" si="7"/>
        <v>42.609057552199999</v>
      </c>
      <c r="G57" s="6">
        <f t="shared" si="8"/>
        <v>2.4005102846309859E-2</v>
      </c>
      <c r="H57">
        <f t="shared" si="9"/>
        <v>852.1811510440001</v>
      </c>
    </row>
    <row r="58" spans="1:12">
      <c r="A58">
        <f t="shared" si="5"/>
        <v>60</v>
      </c>
      <c r="B58">
        <v>2400</v>
      </c>
      <c r="C58">
        <v>13</v>
      </c>
      <c r="D58">
        <v>19.039121000000002</v>
      </c>
      <c r="E58">
        <f t="shared" si="6"/>
        <v>19.039121000000002</v>
      </c>
      <c r="F58">
        <f t="shared" si="7"/>
        <v>43.978465597899998</v>
      </c>
      <c r="G58" s="6">
        <f t="shared" si="8"/>
        <v>2.4776600336845069E-2</v>
      </c>
      <c r="H58">
        <f t="shared" si="9"/>
        <v>879.56931195799996</v>
      </c>
    </row>
    <row r="59" spans="1:12">
      <c r="A59">
        <f t="shared" si="5"/>
        <v>65</v>
      </c>
      <c r="B59">
        <v>2600</v>
      </c>
      <c r="C59">
        <v>14</v>
      </c>
      <c r="D59">
        <v>19.251331</v>
      </c>
      <c r="E59">
        <f t="shared" si="6"/>
        <v>19.251331</v>
      </c>
      <c r="F59">
        <f t="shared" si="7"/>
        <v>44.468649476899998</v>
      </c>
      <c r="G59" s="6">
        <f t="shared" si="8"/>
        <v>2.5052760268676057E-2</v>
      </c>
      <c r="H59">
        <f t="shared" si="9"/>
        <v>889.37298953800007</v>
      </c>
    </row>
    <row r="60" spans="1:12">
      <c r="A60">
        <f t="shared" si="5"/>
        <v>70</v>
      </c>
      <c r="B60">
        <v>2800</v>
      </c>
      <c r="C60">
        <v>15</v>
      </c>
      <c r="D60">
        <v>19.545453999999999</v>
      </c>
      <c r="E60">
        <f t="shared" si="6"/>
        <v>19.545453999999999</v>
      </c>
      <c r="F60">
        <f t="shared" si="7"/>
        <v>45.148044194599997</v>
      </c>
      <c r="G60" s="6">
        <f t="shared" si="8"/>
        <v>2.5435517856112675E-2</v>
      </c>
      <c r="H60">
        <f t="shared" si="9"/>
        <v>902.96088389199986</v>
      </c>
    </row>
    <row r="61" spans="1:12">
      <c r="A61">
        <f t="shared" si="5"/>
        <v>75</v>
      </c>
      <c r="B61">
        <v>3000</v>
      </c>
      <c r="C61">
        <v>16</v>
      </c>
      <c r="D61">
        <v>19.438234000000001</v>
      </c>
      <c r="E61">
        <f t="shared" si="6"/>
        <v>19.438234000000001</v>
      </c>
      <c r="F61">
        <f t="shared" si="7"/>
        <v>44.9003767166</v>
      </c>
      <c r="G61" s="6">
        <f t="shared" si="8"/>
        <v>2.5295986882591548E-2</v>
      </c>
      <c r="H61">
        <f t="shared" si="9"/>
        <v>898.00753433199998</v>
      </c>
    </row>
    <row r="62" spans="1:12">
      <c r="A62">
        <f t="shared" si="5"/>
        <v>80</v>
      </c>
      <c r="B62">
        <v>3200</v>
      </c>
      <c r="C62">
        <v>17</v>
      </c>
      <c r="D62">
        <v>19.787333</v>
      </c>
      <c r="E62">
        <f t="shared" si="6"/>
        <v>19.787333</v>
      </c>
      <c r="F62">
        <f t="shared" si="7"/>
        <v>45.706760496699999</v>
      </c>
      <c r="G62" s="6">
        <f t="shared" si="8"/>
        <v>2.5750287603774645E-2</v>
      </c>
      <c r="H62">
        <f t="shared" si="9"/>
        <v>914.13520993399993</v>
      </c>
    </row>
    <row r="63" spans="1:12">
      <c r="A63">
        <f t="shared" si="5"/>
        <v>85</v>
      </c>
      <c r="B63">
        <v>3400</v>
      </c>
      <c r="C63">
        <v>18</v>
      </c>
      <c r="D63">
        <v>19.587765999999998</v>
      </c>
      <c r="E63">
        <f t="shared" si="6"/>
        <v>19.587765999999998</v>
      </c>
      <c r="F63">
        <f t="shared" si="7"/>
        <v>45.245780683399992</v>
      </c>
      <c r="G63" s="6">
        <f t="shared" si="8"/>
        <v>2.5490580666704222E-2</v>
      </c>
      <c r="H63">
        <f t="shared" si="9"/>
        <v>904.91561366799988</v>
      </c>
    </row>
    <row r="64" spans="1:12">
      <c r="A64">
        <f t="shared" si="5"/>
        <v>90</v>
      </c>
      <c r="B64">
        <v>3600</v>
      </c>
      <c r="C64">
        <v>19</v>
      </c>
      <c r="D64">
        <v>19.662531999999999</v>
      </c>
      <c r="E64">
        <f t="shared" si="6"/>
        <v>19.662531999999999</v>
      </c>
      <c r="F64">
        <f t="shared" si="7"/>
        <v>45.418482666799996</v>
      </c>
      <c r="G64" s="6">
        <f t="shared" si="8"/>
        <v>2.5587877558760561E-2</v>
      </c>
      <c r="H64">
        <f t="shared" si="9"/>
        <v>908.36965333599994</v>
      </c>
      <c r="L64" t="s">
        <v>26</v>
      </c>
    </row>
    <row r="65" spans="1:8">
      <c r="A65">
        <f t="shared" si="5"/>
        <v>95</v>
      </c>
      <c r="B65">
        <v>3800</v>
      </c>
      <c r="C65">
        <v>20</v>
      </c>
      <c r="D65">
        <v>19.668634000000001</v>
      </c>
      <c r="E65">
        <f t="shared" si="6"/>
        <v>19.668634000000001</v>
      </c>
      <c r="F65">
        <f t="shared" si="7"/>
        <v>45.432577676599998</v>
      </c>
      <c r="G65" s="6">
        <f t="shared" si="8"/>
        <v>2.5595818409352114E-2</v>
      </c>
      <c r="H65">
        <f t="shared" si="9"/>
        <v>908.65155353199998</v>
      </c>
    </row>
    <row r="66" spans="1:8">
      <c r="A66">
        <f t="shared" si="5"/>
        <v>100</v>
      </c>
      <c r="B66">
        <v>4000</v>
      </c>
      <c r="C66">
        <v>21</v>
      </c>
      <c r="D66">
        <v>20.091072</v>
      </c>
      <c r="E66">
        <f t="shared" si="6"/>
        <v>20.091072</v>
      </c>
      <c r="F66">
        <f t="shared" si="7"/>
        <v>46.408367212799995</v>
      </c>
      <c r="G66" s="6">
        <f t="shared" si="8"/>
        <v>2.6145558993126754E-2</v>
      </c>
      <c r="H66">
        <f t="shared" si="9"/>
        <v>928.16734425599975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55C9-20E1-48B3-AD37-AAC1B84B8856}">
  <dimension ref="A1:J66"/>
  <sheetViews>
    <sheetView topLeftCell="A4" workbookViewId="0">
      <selection activeCell="D46" sqref="D46"/>
    </sheetView>
  </sheetViews>
  <sheetFormatPr defaultRowHeight="14.5"/>
  <cols>
    <col min="4" max="4" width="18.90625" customWidth="1"/>
    <col min="5" max="5" width="15.7265625" customWidth="1"/>
    <col min="6" max="6" width="17.36328125" style="6" customWidth="1"/>
    <col min="7" max="7" width="13.453125" customWidth="1"/>
    <col min="8" max="8" width="14.1796875" customWidth="1"/>
    <col min="9" max="9" width="17.453125" customWidth="1"/>
    <col min="12" max="12" width="15.453125" customWidth="1"/>
  </cols>
  <sheetData>
    <row r="1" spans="1:10">
      <c r="A1" t="s">
        <v>27</v>
      </c>
      <c r="H1" t="s">
        <v>20</v>
      </c>
      <c r="I1" t="s">
        <v>21</v>
      </c>
    </row>
    <row r="2" spans="1:10">
      <c r="A2" t="s">
        <v>5</v>
      </c>
      <c r="B2" t="s">
        <v>0</v>
      </c>
      <c r="C2" t="s">
        <v>1</v>
      </c>
      <c r="D2" s="6"/>
      <c r="E2" t="s">
        <v>4</v>
      </c>
      <c r="F2" t="s">
        <v>0</v>
      </c>
      <c r="G2" t="s">
        <v>1</v>
      </c>
      <c r="H2">
        <v>6.9154999999999994E-2</v>
      </c>
      <c r="I2">
        <v>2.0424999999999999E-2</v>
      </c>
    </row>
    <row r="3" spans="1:10">
      <c r="B3" s="4">
        <v>0</v>
      </c>
      <c r="C3">
        <v>0</v>
      </c>
      <c r="D3" s="6"/>
      <c r="F3" s="4">
        <v>0</v>
      </c>
      <c r="G3">
        <v>0</v>
      </c>
    </row>
    <row r="4" spans="1:10">
      <c r="B4" s="4">
        <f>1.242683-$H$2</f>
        <v>1.1735279999999999</v>
      </c>
      <c r="C4">
        <v>5</v>
      </c>
      <c r="D4" s="6"/>
      <c r="F4" s="3">
        <f>0.320422-I2</f>
        <v>0.29999699999999996</v>
      </c>
      <c r="G4">
        <v>1</v>
      </c>
    </row>
    <row r="5" spans="1:10">
      <c r="B5" s="4">
        <f>2.534192-H2</f>
        <v>2.4650370000000001</v>
      </c>
      <c r="C5">
        <v>10</v>
      </c>
      <c r="D5" s="6"/>
      <c r="F5" s="3">
        <f>1.801047-I2</f>
        <v>1.7806220000000001</v>
      </c>
      <c r="G5">
        <v>5</v>
      </c>
    </row>
    <row r="6" spans="1:10">
      <c r="B6" s="4">
        <f>3.909798-H2</f>
        <v>3.840643</v>
      </c>
      <c r="C6">
        <v>15</v>
      </c>
      <c r="D6" s="6"/>
      <c r="F6" s="3">
        <f>3.867295-I2</f>
        <v>3.84687</v>
      </c>
      <c r="G6">
        <v>10</v>
      </c>
    </row>
    <row r="7" spans="1:10">
      <c r="B7" s="4">
        <f>6.795206-H2</f>
        <v>6.726051</v>
      </c>
      <c r="C7">
        <v>25</v>
      </c>
      <c r="D7" s="6"/>
      <c r="F7" s="3">
        <f>8.201586-I2</f>
        <v>8.1811610000000012</v>
      </c>
      <c r="G7">
        <v>20</v>
      </c>
    </row>
    <row r="8" spans="1:10">
      <c r="B8" s="3"/>
      <c r="D8" s="6"/>
      <c r="F8" s="3">
        <f>43.213216-I2</f>
        <v>43.192791</v>
      </c>
      <c r="G8">
        <v>100</v>
      </c>
    </row>
    <row r="12" spans="1:10">
      <c r="D12" t="s">
        <v>5</v>
      </c>
    </row>
    <row r="13" spans="1:10">
      <c r="A13" t="s">
        <v>10</v>
      </c>
      <c r="B13" t="s">
        <v>18</v>
      </c>
      <c r="C13" t="s">
        <v>17</v>
      </c>
      <c r="D13" t="s">
        <v>0</v>
      </c>
      <c r="E13" t="s">
        <v>22</v>
      </c>
      <c r="F13" t="s">
        <v>3</v>
      </c>
      <c r="G13" s="6" t="s">
        <v>12</v>
      </c>
      <c r="H13" s="1" t="s">
        <v>13</v>
      </c>
      <c r="J13" s="2"/>
    </row>
    <row r="14" spans="1:10">
      <c r="A14">
        <f>B14/40</f>
        <v>0</v>
      </c>
      <c r="B14">
        <v>0</v>
      </c>
      <c r="C14">
        <v>0</v>
      </c>
      <c r="D14">
        <v>14.279387</v>
      </c>
      <c r="E14">
        <f>D14-$H$2</f>
        <v>14.210232</v>
      </c>
      <c r="F14">
        <f>3.7999*D14</f>
        <v>54.260242661299998</v>
      </c>
      <c r="G14" s="6">
        <f>F14*20/96/1000</f>
        <v>1.1304217221104168E-2</v>
      </c>
      <c r="H14">
        <f>G14*96*1000</f>
        <v>1085.2048532260001</v>
      </c>
    </row>
    <row r="15" spans="1:10">
      <c r="A15">
        <f t="shared" ref="A15:A35" si="0">B15/40</f>
        <v>0</v>
      </c>
      <c r="B15">
        <v>0</v>
      </c>
      <c r="C15">
        <v>1</v>
      </c>
      <c r="D15">
        <v>1.2223170000000001</v>
      </c>
      <c r="E15">
        <f t="shared" ref="E15:E35" si="1">D15-$H$2</f>
        <v>1.153162</v>
      </c>
      <c r="F15">
        <f t="shared" ref="F15:F35" si="2">3.7999*D15</f>
        <v>4.6446823683000007</v>
      </c>
      <c r="G15" s="6">
        <f t="shared" ref="G15:G35" si="3">F15*20/96/1000</f>
        <v>9.6764216006250015E-4</v>
      </c>
      <c r="H15">
        <f t="shared" ref="H15:H35" si="4">G15*96*1000</f>
        <v>92.893647366000025</v>
      </c>
    </row>
    <row r="16" spans="1:10">
      <c r="A16">
        <f t="shared" si="0"/>
        <v>5</v>
      </c>
      <c r="B16">
        <v>200</v>
      </c>
      <c r="C16">
        <v>2</v>
      </c>
      <c r="D16">
        <v>0.91605400000000003</v>
      </c>
      <c r="E16">
        <f t="shared" si="1"/>
        <v>0.84689900000000007</v>
      </c>
      <c r="F16">
        <f t="shared" si="2"/>
        <v>3.4809135946</v>
      </c>
      <c r="G16" s="6">
        <f t="shared" si="3"/>
        <v>7.2519033220833334E-4</v>
      </c>
      <c r="H16">
        <f t="shared" si="4"/>
        <v>69.618271891999996</v>
      </c>
    </row>
    <row r="17" spans="1:9">
      <c r="A17">
        <f t="shared" si="0"/>
        <v>10</v>
      </c>
      <c r="B17">
        <v>400</v>
      </c>
      <c r="C17">
        <v>3</v>
      </c>
      <c r="D17">
        <v>0.87670999999999999</v>
      </c>
      <c r="E17">
        <f t="shared" si="1"/>
        <v>0.80755500000000002</v>
      </c>
      <c r="F17">
        <f t="shared" si="2"/>
        <v>3.3314103290000001</v>
      </c>
      <c r="G17" s="6">
        <f t="shared" si="3"/>
        <v>6.9404381854166661E-4</v>
      </c>
      <c r="H17">
        <f t="shared" si="4"/>
        <v>66.628206579999983</v>
      </c>
    </row>
    <row r="18" spans="1:9">
      <c r="A18">
        <f t="shared" si="0"/>
        <v>15</v>
      </c>
      <c r="B18">
        <v>600</v>
      </c>
      <c r="C18">
        <v>4</v>
      </c>
      <c r="D18">
        <v>0.84431299999999998</v>
      </c>
      <c r="E18">
        <f t="shared" si="1"/>
        <v>0.77515800000000001</v>
      </c>
      <c r="F18">
        <f t="shared" si="2"/>
        <v>3.2083049686999998</v>
      </c>
      <c r="G18" s="6">
        <f t="shared" si="3"/>
        <v>6.6839686847916665E-4</v>
      </c>
      <c r="H18">
        <f t="shared" si="4"/>
        <v>64.166099373999998</v>
      </c>
    </row>
    <row r="19" spans="1:9">
      <c r="A19">
        <f t="shared" si="0"/>
        <v>20</v>
      </c>
      <c r="B19">
        <v>800</v>
      </c>
      <c r="C19">
        <v>5</v>
      </c>
      <c r="D19">
        <v>0.82084299999999999</v>
      </c>
      <c r="E19">
        <f t="shared" si="1"/>
        <v>0.75168800000000002</v>
      </c>
      <c r="F19">
        <f t="shared" si="2"/>
        <v>3.1191213157000002</v>
      </c>
      <c r="G19" s="6">
        <f t="shared" si="3"/>
        <v>6.4981694077083331E-4</v>
      </c>
      <c r="H19">
        <f t="shared" si="4"/>
        <v>62.382426314</v>
      </c>
    </row>
    <row r="20" spans="1:9">
      <c r="A20">
        <f t="shared" si="0"/>
        <v>25</v>
      </c>
      <c r="B20">
        <v>1000</v>
      </c>
      <c r="C20">
        <v>6</v>
      </c>
      <c r="D20">
        <v>0.77838499999999999</v>
      </c>
      <c r="E20">
        <f t="shared" si="1"/>
        <v>0.70923000000000003</v>
      </c>
      <c r="F20">
        <f t="shared" si="2"/>
        <v>2.9577851614999999</v>
      </c>
      <c r="G20" s="6">
        <f t="shared" si="3"/>
        <v>6.1620524197916673E-4</v>
      </c>
      <c r="H20">
        <f t="shared" si="4"/>
        <v>59.155703230000007</v>
      </c>
    </row>
    <row r="21" spans="1:9">
      <c r="A21">
        <f t="shared" si="0"/>
        <v>30</v>
      </c>
      <c r="B21">
        <v>1200</v>
      </c>
      <c r="C21">
        <v>7</v>
      </c>
      <c r="D21">
        <v>0.76135699999999995</v>
      </c>
      <c r="E21">
        <f t="shared" si="1"/>
        <v>0.69220199999999998</v>
      </c>
      <c r="F21">
        <f t="shared" si="2"/>
        <v>2.8930804642999997</v>
      </c>
      <c r="G21" s="6">
        <f t="shared" si="3"/>
        <v>6.0272509672916648E-4</v>
      </c>
      <c r="H21">
        <f t="shared" si="4"/>
        <v>57.861609285999982</v>
      </c>
    </row>
    <row r="22" spans="1:9">
      <c r="A22">
        <f t="shared" si="0"/>
        <v>35</v>
      </c>
      <c r="B22">
        <v>1400</v>
      </c>
      <c r="C22">
        <v>8</v>
      </c>
      <c r="D22">
        <v>0.86082000000000003</v>
      </c>
      <c r="E22">
        <f t="shared" si="1"/>
        <v>0.79166500000000006</v>
      </c>
      <c r="F22">
        <f t="shared" si="2"/>
        <v>3.271029918</v>
      </c>
      <c r="G22" s="6">
        <f t="shared" si="3"/>
        <v>6.8146456624999991E-4</v>
      </c>
      <c r="H22">
        <f t="shared" si="4"/>
        <v>65.42059836</v>
      </c>
    </row>
    <row r="23" spans="1:9">
      <c r="A23">
        <f t="shared" si="0"/>
        <v>40</v>
      </c>
      <c r="B23">
        <v>1600</v>
      </c>
      <c r="C23">
        <v>9</v>
      </c>
      <c r="D23">
        <v>0.78347999999999995</v>
      </c>
      <c r="E23">
        <f t="shared" si="1"/>
        <v>0.71432499999999999</v>
      </c>
      <c r="F23">
        <f t="shared" si="2"/>
        <v>2.9771456519999999</v>
      </c>
      <c r="G23" s="6">
        <f t="shared" si="3"/>
        <v>6.2023867750000006E-4</v>
      </c>
      <c r="H23">
        <f t="shared" si="4"/>
        <v>59.542913040000009</v>
      </c>
    </row>
    <row r="24" spans="1:9">
      <c r="A24">
        <f t="shared" si="0"/>
        <v>45</v>
      </c>
      <c r="B24">
        <v>1800</v>
      </c>
      <c r="C24">
        <v>10</v>
      </c>
      <c r="D24">
        <v>1.1617040000000001</v>
      </c>
      <c r="E24">
        <f t="shared" si="1"/>
        <v>1.092549</v>
      </c>
      <c r="F24">
        <f t="shared" si="2"/>
        <v>4.4143590295999999</v>
      </c>
      <c r="G24" s="6">
        <f t="shared" si="3"/>
        <v>9.1965813116666657E-4</v>
      </c>
      <c r="H24">
        <f t="shared" si="4"/>
        <v>88.287180591999999</v>
      </c>
    </row>
    <row r="25" spans="1:9">
      <c r="A25">
        <f t="shared" si="0"/>
        <v>50</v>
      </c>
      <c r="B25">
        <v>2000</v>
      </c>
      <c r="C25">
        <v>11</v>
      </c>
      <c r="D25">
        <v>3.223506</v>
      </c>
      <c r="E25">
        <f t="shared" si="1"/>
        <v>3.1543510000000001</v>
      </c>
      <c r="F25">
        <f t="shared" si="2"/>
        <v>12.2490004494</v>
      </c>
      <c r="G25" s="6">
        <f t="shared" si="3"/>
        <v>2.551875093625E-3</v>
      </c>
      <c r="H25">
        <f t="shared" si="4"/>
        <v>244.98000898799998</v>
      </c>
    </row>
    <row r="26" spans="1:9">
      <c r="A26">
        <f t="shared" si="0"/>
        <v>55</v>
      </c>
      <c r="B26">
        <v>2200</v>
      </c>
      <c r="C26">
        <v>12</v>
      </c>
      <c r="D26">
        <v>7.1278269999999999</v>
      </c>
      <c r="E26">
        <f t="shared" si="1"/>
        <v>7.0586719999999996</v>
      </c>
      <c r="F26">
        <f t="shared" si="2"/>
        <v>27.085029817300001</v>
      </c>
      <c r="G26" s="6">
        <f t="shared" si="3"/>
        <v>5.6427145452708338E-3</v>
      </c>
      <c r="H26">
        <f t="shared" si="4"/>
        <v>541.700596346</v>
      </c>
      <c r="I26" s="2"/>
    </row>
    <row r="27" spans="1:9">
      <c r="A27">
        <f t="shared" si="0"/>
        <v>60</v>
      </c>
      <c r="B27">
        <v>2400</v>
      </c>
      <c r="C27">
        <v>13</v>
      </c>
      <c r="D27">
        <v>10.503377</v>
      </c>
      <c r="E27">
        <f t="shared" si="1"/>
        <v>10.434222</v>
      </c>
      <c r="F27">
        <f t="shared" si="2"/>
        <v>39.911782262300001</v>
      </c>
      <c r="G27" s="6">
        <f t="shared" si="3"/>
        <v>8.3149546379791672E-3</v>
      </c>
      <c r="H27">
        <f t="shared" si="4"/>
        <v>798.23564524599999</v>
      </c>
      <c r="I27" s="2"/>
    </row>
    <row r="28" spans="1:9">
      <c r="A28">
        <f t="shared" si="0"/>
        <v>65</v>
      </c>
      <c r="B28">
        <v>2600</v>
      </c>
      <c r="C28">
        <v>14</v>
      </c>
      <c r="D28">
        <v>12.267887</v>
      </c>
      <c r="E28">
        <f t="shared" si="1"/>
        <v>12.198732</v>
      </c>
      <c r="F28">
        <f t="shared" si="2"/>
        <v>46.616743811299997</v>
      </c>
      <c r="G28" s="6">
        <f t="shared" si="3"/>
        <v>9.7118216273541676E-3</v>
      </c>
      <c r="H28">
        <f t="shared" si="4"/>
        <v>932.33487622600012</v>
      </c>
    </row>
    <row r="29" spans="1:9">
      <c r="A29">
        <f t="shared" si="0"/>
        <v>70</v>
      </c>
      <c r="B29">
        <v>2800</v>
      </c>
      <c r="C29">
        <v>15</v>
      </c>
      <c r="D29">
        <v>13.202591999999999</v>
      </c>
      <c r="E29">
        <f t="shared" si="1"/>
        <v>13.133436999999999</v>
      </c>
      <c r="F29">
        <f t="shared" si="2"/>
        <v>50.168529340799999</v>
      </c>
      <c r="G29" s="6">
        <f t="shared" si="3"/>
        <v>1.0451776946E-2</v>
      </c>
      <c r="H29">
        <f t="shared" si="4"/>
        <v>1003.3705868160001</v>
      </c>
    </row>
    <row r="30" spans="1:9">
      <c r="A30">
        <f t="shared" si="0"/>
        <v>75</v>
      </c>
      <c r="B30">
        <v>3000</v>
      </c>
      <c r="C30">
        <v>16</v>
      </c>
      <c r="D30">
        <v>13.560252</v>
      </c>
      <c r="E30">
        <f t="shared" si="1"/>
        <v>13.491097</v>
      </c>
      <c r="F30">
        <f t="shared" si="2"/>
        <v>51.527601574800002</v>
      </c>
      <c r="G30" s="6">
        <f t="shared" si="3"/>
        <v>1.073491699475E-2</v>
      </c>
      <c r="H30">
        <f t="shared" si="4"/>
        <v>1030.5520314959999</v>
      </c>
    </row>
    <row r="31" spans="1:9">
      <c r="A31">
        <f t="shared" si="0"/>
        <v>80</v>
      </c>
      <c r="B31">
        <v>3200</v>
      </c>
      <c r="C31">
        <v>17</v>
      </c>
      <c r="D31">
        <v>13.230097000000001</v>
      </c>
      <c r="E31">
        <f t="shared" si="1"/>
        <v>13.160942</v>
      </c>
      <c r="F31">
        <f t="shared" si="2"/>
        <v>50.273045590300001</v>
      </c>
      <c r="G31" s="6">
        <f t="shared" si="3"/>
        <v>1.0473551164645833E-2</v>
      </c>
      <c r="H31">
        <f t="shared" si="4"/>
        <v>1005.4609118059998</v>
      </c>
    </row>
    <row r="32" spans="1:9">
      <c r="A32">
        <f t="shared" si="0"/>
        <v>85</v>
      </c>
      <c r="B32">
        <v>3400</v>
      </c>
      <c r="C32">
        <v>18</v>
      </c>
      <c r="D32">
        <v>13.900425</v>
      </c>
      <c r="E32">
        <f t="shared" si="1"/>
        <v>13.83127</v>
      </c>
      <c r="F32">
        <f t="shared" si="2"/>
        <v>52.820224957500002</v>
      </c>
      <c r="G32" s="6">
        <f t="shared" si="3"/>
        <v>1.10042135328125E-2</v>
      </c>
      <c r="H32">
        <f t="shared" si="4"/>
        <v>1056.40449915</v>
      </c>
    </row>
    <row r="33" spans="1:8">
      <c r="A33">
        <f t="shared" si="0"/>
        <v>90</v>
      </c>
      <c r="B33">
        <v>3600</v>
      </c>
      <c r="C33">
        <v>19</v>
      </c>
      <c r="D33">
        <v>13.938449</v>
      </c>
      <c r="E33">
        <f t="shared" si="1"/>
        <v>13.869294</v>
      </c>
      <c r="F33">
        <f t="shared" si="2"/>
        <v>52.964712355100005</v>
      </c>
      <c r="G33" s="6">
        <f t="shared" si="3"/>
        <v>1.1034315073979168E-2</v>
      </c>
      <c r="H33">
        <f t="shared" si="4"/>
        <v>1059.2942471020001</v>
      </c>
    </row>
    <row r="34" spans="1:8">
      <c r="A34">
        <f t="shared" si="0"/>
        <v>95</v>
      </c>
      <c r="B34">
        <v>3800</v>
      </c>
      <c r="C34">
        <v>20</v>
      </c>
      <c r="D34">
        <v>14.016501999999999</v>
      </c>
      <c r="E34">
        <f t="shared" si="1"/>
        <v>13.947346999999999</v>
      </c>
      <c r="F34">
        <f t="shared" si="2"/>
        <v>53.261305949799997</v>
      </c>
      <c r="G34" s="6">
        <f t="shared" si="3"/>
        <v>1.1096105406208333E-2</v>
      </c>
      <c r="H34">
        <f t="shared" si="4"/>
        <v>1065.226118996</v>
      </c>
    </row>
    <row r="35" spans="1:8">
      <c r="A35">
        <f t="shared" si="0"/>
        <v>100</v>
      </c>
      <c r="B35">
        <v>4000</v>
      </c>
      <c r="C35">
        <v>21</v>
      </c>
      <c r="D35">
        <v>14.077313</v>
      </c>
      <c r="E35">
        <f t="shared" si="1"/>
        <v>14.008158</v>
      </c>
      <c r="F35">
        <f t="shared" si="2"/>
        <v>53.492381668699998</v>
      </c>
      <c r="G35" s="6">
        <f t="shared" si="3"/>
        <v>1.1144246180979167E-2</v>
      </c>
      <c r="H35">
        <f t="shared" si="4"/>
        <v>1069.8476333740002</v>
      </c>
    </row>
    <row r="43" spans="1:8">
      <c r="D43" t="s">
        <v>4</v>
      </c>
      <c r="G43" s="2"/>
    </row>
    <row r="44" spans="1:8">
      <c r="A44" t="s">
        <v>10</v>
      </c>
      <c r="B44" t="s">
        <v>18</v>
      </c>
      <c r="C44" t="s">
        <v>17</v>
      </c>
      <c r="D44" t="s">
        <v>0</v>
      </c>
      <c r="E44" t="s">
        <v>22</v>
      </c>
      <c r="F44" t="s">
        <v>3</v>
      </c>
      <c r="G44" s="6" t="s">
        <v>12</v>
      </c>
    </row>
    <row r="45" spans="1:8">
      <c r="A45">
        <f>B45/40</f>
        <v>0</v>
      </c>
      <c r="B45">
        <v>0</v>
      </c>
      <c r="C45">
        <v>0</v>
      </c>
      <c r="D45">
        <v>0</v>
      </c>
      <c r="E45">
        <f>D45-$I$2</f>
        <v>-2.0424999999999999E-2</v>
      </c>
      <c r="F45">
        <f>2.3226*E45</f>
        <v>-4.7439104999999995E-2</v>
      </c>
      <c r="G45" s="6">
        <f>F45*20/35.5/1000</f>
        <v>-2.6726256338028164E-5</v>
      </c>
      <c r="H45">
        <f>G45*35.5*1000</f>
        <v>-0.94878209999999985</v>
      </c>
    </row>
    <row r="46" spans="1:8">
      <c r="A46">
        <f t="shared" ref="A46:A66" si="5">B46/40</f>
        <v>0</v>
      </c>
      <c r="B46">
        <v>0</v>
      </c>
      <c r="C46">
        <v>1</v>
      </c>
      <c r="D46">
        <v>15.102736</v>
      </c>
      <c r="E46">
        <f t="shared" ref="E46:E66" si="6">D46-$I$2</f>
        <v>15.082311000000001</v>
      </c>
      <c r="F46">
        <f t="shared" ref="F46:F66" si="7">2.3226*E46</f>
        <v>35.030175528600004</v>
      </c>
      <c r="G46" s="6">
        <f t="shared" ref="G46:G66" si="8">F46*20/35.5/1000</f>
        <v>1.9735310156957748E-2</v>
      </c>
      <c r="H46">
        <f t="shared" ref="H46:H65" si="9">G46*35.5*1000</f>
        <v>700.60351057200012</v>
      </c>
    </row>
    <row r="47" spans="1:8">
      <c r="A47">
        <f t="shared" si="5"/>
        <v>5</v>
      </c>
      <c r="B47">
        <v>200</v>
      </c>
      <c r="C47">
        <v>2</v>
      </c>
      <c r="D47">
        <v>13.546943000000001</v>
      </c>
      <c r="E47">
        <f t="shared" si="6"/>
        <v>13.526518000000001</v>
      </c>
      <c r="F47">
        <f t="shared" si="7"/>
        <v>31.416690706800004</v>
      </c>
      <c r="G47" s="6">
        <f t="shared" si="8"/>
        <v>1.7699544060169017E-2</v>
      </c>
      <c r="H47">
        <f t="shared" si="9"/>
        <v>628.33381413600011</v>
      </c>
    </row>
    <row r="48" spans="1:8">
      <c r="A48">
        <f t="shared" si="5"/>
        <v>10</v>
      </c>
      <c r="B48">
        <v>400</v>
      </c>
      <c r="C48">
        <v>3</v>
      </c>
      <c r="D48">
        <v>13.601186</v>
      </c>
      <c r="E48">
        <f t="shared" si="6"/>
        <v>13.580761000000001</v>
      </c>
      <c r="F48">
        <f t="shared" si="7"/>
        <v>31.542675498600001</v>
      </c>
      <c r="G48" s="6">
        <f t="shared" si="8"/>
        <v>1.7770521407661971E-2</v>
      </c>
      <c r="H48">
        <f t="shared" si="9"/>
        <v>630.85350997199998</v>
      </c>
    </row>
    <row r="49" spans="1:8">
      <c r="A49">
        <f t="shared" si="5"/>
        <v>15</v>
      </c>
      <c r="B49">
        <v>600</v>
      </c>
      <c r="C49">
        <v>4</v>
      </c>
      <c r="D49">
        <v>13.659172999999999</v>
      </c>
      <c r="E49">
        <f t="shared" si="6"/>
        <v>13.638748</v>
      </c>
      <c r="F49">
        <f t="shared" si="7"/>
        <v>31.677356104799998</v>
      </c>
      <c r="G49" s="6">
        <f t="shared" si="8"/>
        <v>1.7846397805521125E-2</v>
      </c>
      <c r="H49">
        <f t="shared" si="9"/>
        <v>633.54712209599995</v>
      </c>
    </row>
    <row r="50" spans="1:8">
      <c r="A50">
        <f t="shared" si="5"/>
        <v>20</v>
      </c>
      <c r="B50">
        <v>800</v>
      </c>
      <c r="C50">
        <v>5</v>
      </c>
      <c r="D50">
        <v>13.863787</v>
      </c>
      <c r="E50">
        <f t="shared" si="6"/>
        <v>13.843362000000001</v>
      </c>
      <c r="F50">
        <f t="shared" si="7"/>
        <v>32.152592581200004</v>
      </c>
      <c r="G50" s="6">
        <f t="shared" si="8"/>
        <v>1.811413666546479E-2</v>
      </c>
      <c r="H50">
        <f t="shared" si="9"/>
        <v>643.05185162400005</v>
      </c>
    </row>
    <row r="51" spans="1:8">
      <c r="A51">
        <f t="shared" si="5"/>
        <v>25</v>
      </c>
      <c r="B51">
        <v>1000</v>
      </c>
      <c r="C51">
        <v>6</v>
      </c>
      <c r="D51">
        <v>13.713172999999999</v>
      </c>
      <c r="E51">
        <f t="shared" si="6"/>
        <v>13.692748</v>
      </c>
      <c r="F51">
        <f t="shared" si="7"/>
        <v>31.802776504800001</v>
      </c>
      <c r="G51" s="6">
        <f t="shared" si="8"/>
        <v>1.7917057185802814E-2</v>
      </c>
      <c r="H51">
        <f t="shared" si="9"/>
        <v>636.05553009599987</v>
      </c>
    </row>
    <row r="52" spans="1:8">
      <c r="A52">
        <f t="shared" si="5"/>
        <v>30</v>
      </c>
      <c r="B52">
        <v>1200</v>
      </c>
      <c r="C52">
        <v>7</v>
      </c>
      <c r="D52">
        <v>13.822964000000001</v>
      </c>
      <c r="E52">
        <f t="shared" si="6"/>
        <v>13.802539000000001</v>
      </c>
      <c r="F52">
        <f t="shared" si="7"/>
        <v>32.057777081400005</v>
      </c>
      <c r="G52" s="6">
        <f t="shared" si="8"/>
        <v>1.8060719482478872E-2</v>
      </c>
      <c r="H52">
        <f t="shared" si="9"/>
        <v>641.15554162799992</v>
      </c>
    </row>
    <row r="53" spans="1:8">
      <c r="A53">
        <f t="shared" si="5"/>
        <v>35</v>
      </c>
      <c r="B53">
        <v>1400</v>
      </c>
      <c r="C53">
        <v>8</v>
      </c>
      <c r="D53">
        <v>16.300453000000001</v>
      </c>
      <c r="E53">
        <f t="shared" si="6"/>
        <v>16.280028000000001</v>
      </c>
      <c r="F53">
        <f t="shared" si="7"/>
        <v>37.811993032800004</v>
      </c>
      <c r="G53" s="6">
        <f t="shared" si="8"/>
        <v>2.130253128608451E-2</v>
      </c>
      <c r="H53">
        <f t="shared" si="9"/>
        <v>756.23986065600013</v>
      </c>
    </row>
    <row r="54" spans="1:8">
      <c r="A54">
        <f t="shared" si="5"/>
        <v>40</v>
      </c>
      <c r="B54">
        <v>1600</v>
      </c>
      <c r="C54">
        <v>9</v>
      </c>
      <c r="D54">
        <v>13.751503</v>
      </c>
      <c r="E54">
        <f t="shared" si="6"/>
        <v>13.731078</v>
      </c>
      <c r="F54">
        <f t="shared" si="7"/>
        <v>31.8918017628</v>
      </c>
      <c r="G54" s="6">
        <f t="shared" si="8"/>
        <v>1.7967212260732397E-2</v>
      </c>
      <c r="H54">
        <f t="shared" si="9"/>
        <v>637.83603525600006</v>
      </c>
    </row>
    <row r="55" spans="1:8">
      <c r="A55">
        <f t="shared" si="5"/>
        <v>45</v>
      </c>
      <c r="B55">
        <v>1800</v>
      </c>
      <c r="C55">
        <v>10</v>
      </c>
      <c r="D55">
        <v>13.306177999999999</v>
      </c>
      <c r="E55">
        <f t="shared" si="6"/>
        <v>13.285753</v>
      </c>
      <c r="F55">
        <f t="shared" si="7"/>
        <v>30.857489917799999</v>
      </c>
      <c r="G55" s="6">
        <f t="shared" si="8"/>
        <v>1.7384501362140845E-2</v>
      </c>
      <c r="H55">
        <f t="shared" si="9"/>
        <v>617.14979835600002</v>
      </c>
    </row>
    <row r="56" spans="1:8">
      <c r="A56">
        <f t="shared" si="5"/>
        <v>50</v>
      </c>
      <c r="B56">
        <v>2000</v>
      </c>
      <c r="C56">
        <v>11</v>
      </c>
      <c r="D56">
        <v>10.812264000000001</v>
      </c>
      <c r="E56">
        <f t="shared" si="6"/>
        <v>10.791839000000001</v>
      </c>
      <c r="F56">
        <f t="shared" si="7"/>
        <v>25.065125261400002</v>
      </c>
      <c r="G56" s="6">
        <f t="shared" si="8"/>
        <v>1.4121197330366198E-2</v>
      </c>
      <c r="H56">
        <f t="shared" si="9"/>
        <v>501.30250522800003</v>
      </c>
    </row>
    <row r="57" spans="1:8">
      <c r="A57">
        <f t="shared" si="5"/>
        <v>55</v>
      </c>
      <c r="B57">
        <v>2200</v>
      </c>
      <c r="C57">
        <v>12</v>
      </c>
      <c r="D57">
        <v>6.7471880000000004</v>
      </c>
      <c r="E57">
        <f t="shared" si="6"/>
        <v>6.726763</v>
      </c>
      <c r="F57">
        <f t="shared" si="7"/>
        <v>15.623579743800001</v>
      </c>
      <c r="G57" s="6">
        <f t="shared" si="8"/>
        <v>8.8020167570704248E-3</v>
      </c>
      <c r="H57">
        <f t="shared" si="9"/>
        <v>312.4715948760001</v>
      </c>
    </row>
    <row r="58" spans="1:8">
      <c r="A58">
        <f t="shared" si="5"/>
        <v>60</v>
      </c>
      <c r="B58">
        <v>2400</v>
      </c>
      <c r="C58">
        <v>13</v>
      </c>
      <c r="D58">
        <v>3.0834299999999999</v>
      </c>
      <c r="E58">
        <f t="shared" si="6"/>
        <v>3.063005</v>
      </c>
      <c r="F58">
        <f t="shared" si="7"/>
        <v>7.1141354129999996</v>
      </c>
      <c r="G58" s="6">
        <f t="shared" si="8"/>
        <v>4.007963612957746E-3</v>
      </c>
      <c r="H58">
        <f t="shared" si="9"/>
        <v>142.28270825999996</v>
      </c>
    </row>
    <row r="59" spans="1:8">
      <c r="A59">
        <f t="shared" si="5"/>
        <v>65</v>
      </c>
      <c r="B59">
        <v>2600</v>
      </c>
      <c r="C59">
        <v>14</v>
      </c>
      <c r="D59">
        <v>1.3675839999999999</v>
      </c>
      <c r="E59">
        <f t="shared" si="6"/>
        <v>1.347159</v>
      </c>
      <c r="F59">
        <f t="shared" si="7"/>
        <v>3.1289114934</v>
      </c>
      <c r="G59" s="6">
        <f t="shared" si="8"/>
        <v>1.7627670385352112E-3</v>
      </c>
      <c r="H59">
        <f t="shared" si="9"/>
        <v>62.578229868000001</v>
      </c>
    </row>
    <row r="60" spans="1:8">
      <c r="A60">
        <f t="shared" si="5"/>
        <v>70</v>
      </c>
      <c r="B60">
        <v>2800</v>
      </c>
      <c r="C60">
        <v>15</v>
      </c>
      <c r="D60">
        <v>0.62074099999999999</v>
      </c>
      <c r="E60">
        <f t="shared" si="6"/>
        <v>0.60031599999999996</v>
      </c>
      <c r="F60">
        <f t="shared" si="7"/>
        <v>1.3942939416</v>
      </c>
      <c r="G60" s="6">
        <f t="shared" si="8"/>
        <v>7.8551771357746481E-4</v>
      </c>
      <c r="H60">
        <f t="shared" si="9"/>
        <v>27.885878832</v>
      </c>
    </row>
    <row r="61" spans="1:8">
      <c r="A61">
        <f t="shared" si="5"/>
        <v>75</v>
      </c>
      <c r="B61">
        <v>3000</v>
      </c>
      <c r="C61">
        <v>16</v>
      </c>
      <c r="D61">
        <v>0.35633700000000001</v>
      </c>
      <c r="E61">
        <f t="shared" si="6"/>
        <v>0.33591199999999999</v>
      </c>
      <c r="F61">
        <f t="shared" si="7"/>
        <v>0.78018921119999995</v>
      </c>
      <c r="G61" s="6">
        <f t="shared" si="8"/>
        <v>4.3954321757746476E-4</v>
      </c>
      <c r="H61">
        <f t="shared" si="9"/>
        <v>15.603784223999998</v>
      </c>
    </row>
    <row r="62" spans="1:8">
      <c r="A62">
        <f t="shared" si="5"/>
        <v>80</v>
      </c>
      <c r="B62">
        <v>3200</v>
      </c>
      <c r="C62">
        <v>17</v>
      </c>
      <c r="D62">
        <v>0.21820500000000001</v>
      </c>
      <c r="E62">
        <f t="shared" si="6"/>
        <v>0.19778000000000001</v>
      </c>
      <c r="F62">
        <f t="shared" si="7"/>
        <v>0.45936382800000003</v>
      </c>
      <c r="G62" s="6">
        <f t="shared" si="8"/>
        <v>2.5879652281690142E-4</v>
      </c>
      <c r="H62">
        <f t="shared" si="9"/>
        <v>9.1872765600000008</v>
      </c>
    </row>
    <row r="63" spans="1:8">
      <c r="A63">
        <f t="shared" si="5"/>
        <v>85</v>
      </c>
      <c r="B63">
        <v>3400</v>
      </c>
      <c r="C63">
        <v>18</v>
      </c>
      <c r="D63">
        <v>0.14199600000000001</v>
      </c>
      <c r="E63">
        <f t="shared" si="6"/>
        <v>0.12157100000000001</v>
      </c>
      <c r="F63">
        <f t="shared" si="7"/>
        <v>0.28236080460000001</v>
      </c>
      <c r="G63" s="6">
        <f t="shared" si="8"/>
        <v>1.5907650963380284E-4</v>
      </c>
      <c r="H63">
        <f t="shared" si="9"/>
        <v>5.6472160920000007</v>
      </c>
    </row>
    <row r="64" spans="1:8">
      <c r="A64">
        <f t="shared" si="5"/>
        <v>90</v>
      </c>
      <c r="B64">
        <v>3600</v>
      </c>
      <c r="C64">
        <v>19</v>
      </c>
      <c r="D64">
        <v>8.4541000000000005E-2</v>
      </c>
      <c r="E64">
        <f t="shared" si="6"/>
        <v>6.4116000000000006E-2</v>
      </c>
      <c r="F64">
        <f t="shared" si="7"/>
        <v>0.14891582160000003</v>
      </c>
      <c r="G64" s="6">
        <f t="shared" si="8"/>
        <v>8.3896237521126774E-5</v>
      </c>
      <c r="H64">
        <f t="shared" si="9"/>
        <v>2.9783164320000002</v>
      </c>
    </row>
    <row r="65" spans="1:8">
      <c r="A65">
        <f t="shared" si="5"/>
        <v>95</v>
      </c>
      <c r="B65">
        <v>3800</v>
      </c>
      <c r="C65">
        <v>20</v>
      </c>
      <c r="D65">
        <v>6.2290999999999999E-2</v>
      </c>
      <c r="E65">
        <f t="shared" si="6"/>
        <v>4.1866E-2</v>
      </c>
      <c r="F65">
        <f t="shared" si="7"/>
        <v>9.7237971600000001E-2</v>
      </c>
      <c r="G65" s="6">
        <f t="shared" si="8"/>
        <v>5.4781955830985917E-5</v>
      </c>
      <c r="H65">
        <f t="shared" si="9"/>
        <v>1.9447594320000001</v>
      </c>
    </row>
    <row r="66" spans="1:8">
      <c r="A66">
        <f t="shared" si="5"/>
        <v>100</v>
      </c>
      <c r="B66">
        <v>4000</v>
      </c>
      <c r="C66">
        <v>21</v>
      </c>
      <c r="D66">
        <v>4.4359999999999997E-2</v>
      </c>
      <c r="E66">
        <f t="shared" si="6"/>
        <v>2.3934999999999998E-2</v>
      </c>
      <c r="F66">
        <f t="shared" si="7"/>
        <v>5.5591430999999997E-2</v>
      </c>
      <c r="G66" s="6">
        <f t="shared" si="8"/>
        <v>3.1319116056338025E-5</v>
      </c>
      <c r="H66">
        <f>G66*35.5*1000</f>
        <v>1.11182862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CEE6-A315-4DD2-B7EA-CFD71E1F14C8}">
  <dimension ref="A1:L66"/>
  <sheetViews>
    <sheetView workbookViewId="0">
      <selection activeCell="I24" sqref="I24"/>
    </sheetView>
  </sheetViews>
  <sheetFormatPr defaultRowHeight="14.5"/>
  <cols>
    <col min="4" max="4" width="18.90625" customWidth="1"/>
    <col min="5" max="5" width="15.7265625" customWidth="1"/>
    <col min="6" max="6" width="17.36328125" style="6" customWidth="1"/>
    <col min="7" max="7" width="13.453125" customWidth="1"/>
    <col min="8" max="8" width="9.81640625" customWidth="1"/>
    <col min="9" max="9" width="17.453125" customWidth="1"/>
    <col min="12" max="12" width="15.453125" customWidth="1"/>
  </cols>
  <sheetData>
    <row r="1" spans="1:10">
      <c r="A1" t="s">
        <v>24</v>
      </c>
      <c r="H1" t="s">
        <v>20</v>
      </c>
      <c r="I1" t="s">
        <v>21</v>
      </c>
    </row>
    <row r="2" spans="1:10">
      <c r="A2" t="s">
        <v>5</v>
      </c>
      <c r="B2" t="s">
        <v>0</v>
      </c>
      <c r="C2" t="s">
        <v>1</v>
      </c>
      <c r="D2" s="6"/>
      <c r="E2" t="s">
        <v>4</v>
      </c>
      <c r="F2" t="s">
        <v>0</v>
      </c>
      <c r="G2" t="s">
        <v>1</v>
      </c>
      <c r="H2">
        <v>6.9154999999999994E-2</v>
      </c>
      <c r="I2">
        <v>2.0424999999999999E-2</v>
      </c>
    </row>
    <row r="3" spans="1:10">
      <c r="B3" s="4">
        <v>0</v>
      </c>
      <c r="C3">
        <v>0</v>
      </c>
      <c r="D3" s="6"/>
      <c r="F3" s="4">
        <v>0</v>
      </c>
      <c r="G3">
        <v>0</v>
      </c>
    </row>
    <row r="4" spans="1:10">
      <c r="B4" s="4">
        <f>1.242683-$H$2</f>
        <v>1.1735279999999999</v>
      </c>
      <c r="C4">
        <v>5</v>
      </c>
      <c r="D4" s="6"/>
      <c r="F4" s="3">
        <f>0.320422-I2</f>
        <v>0.29999699999999996</v>
      </c>
      <c r="G4">
        <v>1</v>
      </c>
    </row>
    <row r="5" spans="1:10">
      <c r="B5" s="4">
        <f>2.534192-H2</f>
        <v>2.4650370000000001</v>
      </c>
      <c r="C5">
        <v>10</v>
      </c>
      <c r="D5" s="6"/>
      <c r="F5" s="3">
        <f>1.801047-I2</f>
        <v>1.7806220000000001</v>
      </c>
      <c r="G5">
        <v>5</v>
      </c>
    </row>
    <row r="6" spans="1:10">
      <c r="B6" s="4">
        <f>3.909798-H2</f>
        <v>3.840643</v>
      </c>
      <c r="C6">
        <v>15</v>
      </c>
      <c r="D6" s="6"/>
      <c r="F6" s="3">
        <f>3.867295-I2</f>
        <v>3.84687</v>
      </c>
      <c r="G6">
        <v>10</v>
      </c>
    </row>
    <row r="7" spans="1:10">
      <c r="B7" s="4">
        <f>6.795206-H2</f>
        <v>6.726051</v>
      </c>
      <c r="C7">
        <v>25</v>
      </c>
      <c r="D7" s="6"/>
      <c r="F7" s="3">
        <f>8.201586-I2</f>
        <v>8.1811610000000012</v>
      </c>
      <c r="G7">
        <v>20</v>
      </c>
    </row>
    <row r="8" spans="1:10">
      <c r="B8" s="3"/>
      <c r="D8" s="6"/>
      <c r="F8" s="3">
        <f>43.213216-I2</f>
        <v>43.192791</v>
      </c>
      <c r="G8">
        <v>100</v>
      </c>
    </row>
    <row r="12" spans="1:10">
      <c r="D12" t="s">
        <v>5</v>
      </c>
    </row>
    <row r="13" spans="1:10">
      <c r="A13" t="s">
        <v>10</v>
      </c>
      <c r="B13" t="s">
        <v>18</v>
      </c>
      <c r="C13" t="s">
        <v>17</v>
      </c>
      <c r="D13" t="s">
        <v>0</v>
      </c>
      <c r="E13" t="s">
        <v>22</v>
      </c>
      <c r="F13" t="s">
        <v>3</v>
      </c>
      <c r="G13" s="6" t="s">
        <v>12</v>
      </c>
      <c r="H13" s="1" t="s">
        <v>13</v>
      </c>
      <c r="J13" s="2"/>
    </row>
    <row r="14" spans="1:10">
      <c r="A14">
        <f>B14/40</f>
        <v>0</v>
      </c>
      <c r="B14">
        <v>0</v>
      </c>
      <c r="C14">
        <v>0</v>
      </c>
      <c r="D14">
        <v>13.857011</v>
      </c>
      <c r="E14">
        <f t="shared" ref="E14:E35" si="0">D14-$H$2</f>
        <v>13.787856</v>
      </c>
      <c r="F14">
        <f>3.7999*E14</f>
        <v>52.392474014400001</v>
      </c>
      <c r="G14" s="6">
        <f>F14*20/96/1000</f>
        <v>1.0915098753000001E-2</v>
      </c>
      <c r="H14">
        <f>G14*96*1000</f>
        <v>1047.849480288</v>
      </c>
    </row>
    <row r="15" spans="1:10">
      <c r="A15">
        <f t="shared" ref="A15:A35" si="1">B15/40</f>
        <v>0</v>
      </c>
      <c r="B15">
        <v>0</v>
      </c>
      <c r="C15">
        <v>1</v>
      </c>
      <c r="D15">
        <v>0.21882599999999999</v>
      </c>
      <c r="E15">
        <f t="shared" si="0"/>
        <v>0.149671</v>
      </c>
      <c r="F15">
        <f t="shared" ref="F15:F35" si="2">3.7999*E15</f>
        <v>0.56873483290000004</v>
      </c>
      <c r="G15" s="6">
        <f t="shared" ref="G15:G35" si="3">F15*20/96/1000</f>
        <v>1.1848642352083334E-4</v>
      </c>
      <c r="H15">
        <f t="shared" ref="H15:H35" si="4">G15*96*1000</f>
        <v>11.374696658000001</v>
      </c>
    </row>
    <row r="16" spans="1:10">
      <c r="A16">
        <f t="shared" si="1"/>
        <v>5</v>
      </c>
      <c r="B16">
        <v>200</v>
      </c>
      <c r="C16">
        <v>2</v>
      </c>
      <c r="D16">
        <v>0.179309</v>
      </c>
      <c r="E16">
        <f t="shared" si="0"/>
        <v>0.110154</v>
      </c>
      <c r="F16">
        <f t="shared" si="2"/>
        <v>0.41857418460000001</v>
      </c>
      <c r="G16" s="6">
        <f t="shared" si="3"/>
        <v>8.7202955125000002E-5</v>
      </c>
      <c r="H16">
        <f t="shared" si="4"/>
        <v>8.371483692</v>
      </c>
    </row>
    <row r="17" spans="1:9">
      <c r="A17">
        <f t="shared" si="1"/>
        <v>10</v>
      </c>
      <c r="B17">
        <v>400</v>
      </c>
      <c r="C17">
        <v>3</v>
      </c>
      <c r="D17">
        <v>0.11436200000000001</v>
      </c>
      <c r="E17">
        <f t="shared" si="0"/>
        <v>4.5207000000000011E-2</v>
      </c>
      <c r="F17">
        <f t="shared" si="2"/>
        <v>0.17178207930000006</v>
      </c>
      <c r="G17" s="6">
        <f>F17*100/96/1000</f>
        <v>1.7893966593750008E-4</v>
      </c>
      <c r="H17">
        <f t="shared" si="4"/>
        <v>17.17820793000001</v>
      </c>
    </row>
    <row r="18" spans="1:9">
      <c r="A18">
        <f t="shared" si="1"/>
        <v>15</v>
      </c>
      <c r="B18">
        <v>600</v>
      </c>
      <c r="C18">
        <v>4</v>
      </c>
      <c r="D18">
        <v>0.60108700000000004</v>
      </c>
      <c r="E18">
        <f t="shared" si="0"/>
        <v>0.53193200000000007</v>
      </c>
      <c r="F18">
        <f t="shared" si="2"/>
        <v>2.0212884068000001</v>
      </c>
      <c r="G18" s="6">
        <f t="shared" si="3"/>
        <v>4.2110175141666669E-4</v>
      </c>
      <c r="H18">
        <f t="shared" si="4"/>
        <v>40.425768136000002</v>
      </c>
    </row>
    <row r="19" spans="1:9">
      <c r="A19">
        <f t="shared" si="1"/>
        <v>20</v>
      </c>
      <c r="B19">
        <v>800</v>
      </c>
      <c r="C19">
        <v>5</v>
      </c>
      <c r="D19">
        <v>1.7535940000000001</v>
      </c>
      <c r="E19">
        <f t="shared" si="0"/>
        <v>1.684439</v>
      </c>
      <c r="F19">
        <f t="shared" si="2"/>
        <v>6.4006997560999999</v>
      </c>
      <c r="G19" s="6">
        <f t="shared" si="3"/>
        <v>1.3334791158541666E-3</v>
      </c>
      <c r="H19">
        <f t="shared" si="4"/>
        <v>128.01399512199998</v>
      </c>
    </row>
    <row r="20" spans="1:9">
      <c r="A20">
        <f t="shared" si="1"/>
        <v>25</v>
      </c>
      <c r="B20">
        <v>1000</v>
      </c>
      <c r="C20">
        <v>6</v>
      </c>
      <c r="D20">
        <v>3.4460099999999998</v>
      </c>
      <c r="E20">
        <f t="shared" si="0"/>
        <v>3.3768549999999999</v>
      </c>
      <c r="F20">
        <f t="shared" si="2"/>
        <v>12.8317113145</v>
      </c>
      <c r="G20" s="6">
        <f t="shared" si="3"/>
        <v>2.6732731905208334E-3</v>
      </c>
      <c r="H20">
        <f t="shared" si="4"/>
        <v>256.63422629000002</v>
      </c>
    </row>
    <row r="21" spans="1:9">
      <c r="A21">
        <f t="shared" si="1"/>
        <v>30</v>
      </c>
      <c r="B21">
        <v>1200</v>
      </c>
      <c r="C21">
        <v>7</v>
      </c>
      <c r="D21">
        <v>5.2866</v>
      </c>
      <c r="E21">
        <f t="shared" si="0"/>
        <v>5.2174449999999997</v>
      </c>
      <c r="F21">
        <f t="shared" si="2"/>
        <v>19.825769255499999</v>
      </c>
      <c r="G21" s="6">
        <f t="shared" si="3"/>
        <v>4.1303685948958337E-3</v>
      </c>
      <c r="H21">
        <f t="shared" si="4"/>
        <v>396.51538511000007</v>
      </c>
    </row>
    <row r="22" spans="1:9">
      <c r="A22">
        <f t="shared" si="1"/>
        <v>35</v>
      </c>
      <c r="B22">
        <v>1400</v>
      </c>
      <c r="C22">
        <v>8</v>
      </c>
      <c r="D22">
        <v>6.9339310000000003</v>
      </c>
      <c r="E22">
        <f t="shared" si="0"/>
        <v>6.864776</v>
      </c>
      <c r="F22">
        <f t="shared" si="2"/>
        <v>26.085462322400002</v>
      </c>
      <c r="G22" s="6">
        <f t="shared" si="3"/>
        <v>5.4344713171666677E-3</v>
      </c>
      <c r="H22">
        <f t="shared" si="4"/>
        <v>521.70924644800004</v>
      </c>
    </row>
    <row r="23" spans="1:9">
      <c r="A23">
        <f t="shared" si="1"/>
        <v>40</v>
      </c>
      <c r="B23">
        <v>1600</v>
      </c>
      <c r="C23">
        <v>9</v>
      </c>
      <c r="D23">
        <v>8.1909679999999998</v>
      </c>
      <c r="E23">
        <f t="shared" si="0"/>
        <v>8.1218129999999995</v>
      </c>
      <c r="F23">
        <f t="shared" si="2"/>
        <v>30.862077218699998</v>
      </c>
      <c r="G23" s="6">
        <f t="shared" si="3"/>
        <v>6.4295994205625E-3</v>
      </c>
      <c r="H23">
        <f t="shared" si="4"/>
        <v>617.241544374</v>
      </c>
    </row>
    <row r="24" spans="1:9">
      <c r="A24">
        <f t="shared" si="1"/>
        <v>45</v>
      </c>
      <c r="B24">
        <v>1800</v>
      </c>
      <c r="C24">
        <v>10</v>
      </c>
      <c r="D24">
        <v>9.1417339999999996</v>
      </c>
      <c r="E24">
        <f t="shared" si="0"/>
        <v>9.0725789999999993</v>
      </c>
      <c r="F24">
        <f t="shared" si="2"/>
        <v>34.474892942099999</v>
      </c>
      <c r="G24" s="6">
        <f t="shared" si="3"/>
        <v>7.1822693629374993E-3</v>
      </c>
      <c r="H24">
        <f t="shared" si="4"/>
        <v>689.49785884200003</v>
      </c>
    </row>
    <row r="25" spans="1:9">
      <c r="A25">
        <f t="shared" si="1"/>
        <v>50</v>
      </c>
      <c r="B25">
        <v>2000</v>
      </c>
      <c r="C25">
        <v>11</v>
      </c>
      <c r="D25">
        <v>10.10835</v>
      </c>
      <c r="E25">
        <f t="shared" si="0"/>
        <v>10.039194999999999</v>
      </c>
      <c r="F25">
        <f t="shared" si="2"/>
        <v>38.1479370805</v>
      </c>
      <c r="G25" s="6">
        <f t="shared" si="3"/>
        <v>7.9474868917708344E-3</v>
      </c>
      <c r="H25">
        <f t="shared" si="4"/>
        <v>762.95874161000006</v>
      </c>
    </row>
    <row r="26" spans="1:9">
      <c r="A26">
        <f t="shared" si="1"/>
        <v>55</v>
      </c>
      <c r="B26">
        <v>2200</v>
      </c>
      <c r="C26">
        <v>12</v>
      </c>
      <c r="D26">
        <v>10.6754</v>
      </c>
      <c r="E26">
        <f t="shared" si="0"/>
        <v>10.606244999999999</v>
      </c>
      <c r="F26">
        <f t="shared" si="2"/>
        <v>40.3026703755</v>
      </c>
      <c r="G26" s="6">
        <f t="shared" si="3"/>
        <v>8.3963896615624999E-3</v>
      </c>
      <c r="H26">
        <f t="shared" si="4"/>
        <v>806.05340750999994</v>
      </c>
      <c r="I26" s="2"/>
    </row>
    <row r="27" spans="1:9">
      <c r="A27">
        <f t="shared" si="1"/>
        <v>60</v>
      </c>
      <c r="B27">
        <v>2400</v>
      </c>
      <c r="C27">
        <v>13</v>
      </c>
      <c r="D27">
        <v>11.235132999999999</v>
      </c>
      <c r="E27">
        <f t="shared" si="0"/>
        <v>11.165977999999999</v>
      </c>
      <c r="F27">
        <f t="shared" si="2"/>
        <v>42.429599802199995</v>
      </c>
      <c r="G27" s="6">
        <f t="shared" si="3"/>
        <v>8.8394999587916648E-3</v>
      </c>
      <c r="H27">
        <f t="shared" si="4"/>
        <v>848.59199604399987</v>
      </c>
      <c r="I27" s="2"/>
    </row>
    <row r="28" spans="1:9">
      <c r="A28">
        <f t="shared" si="1"/>
        <v>65</v>
      </c>
      <c r="B28">
        <v>2600</v>
      </c>
      <c r="C28">
        <v>14</v>
      </c>
      <c r="D28">
        <v>11.690849</v>
      </c>
      <c r="E28">
        <f t="shared" si="0"/>
        <v>11.621694</v>
      </c>
      <c r="F28">
        <f t="shared" si="2"/>
        <v>44.161275030600002</v>
      </c>
      <c r="G28" s="6">
        <f t="shared" si="3"/>
        <v>9.200265631375E-3</v>
      </c>
      <c r="H28">
        <f t="shared" si="4"/>
        <v>883.22550061200002</v>
      </c>
    </row>
    <row r="29" spans="1:9">
      <c r="A29">
        <f t="shared" si="1"/>
        <v>70</v>
      </c>
      <c r="B29">
        <v>2800</v>
      </c>
      <c r="C29">
        <v>15</v>
      </c>
      <c r="D29">
        <v>12.073338</v>
      </c>
      <c r="E29">
        <f t="shared" si="0"/>
        <v>12.004182999999999</v>
      </c>
      <c r="F29">
        <f t="shared" si="2"/>
        <v>45.614694981699998</v>
      </c>
      <c r="G29" s="6">
        <f t="shared" si="3"/>
        <v>9.5030614545208326E-3</v>
      </c>
      <c r="H29">
        <f t="shared" si="4"/>
        <v>912.29389963400001</v>
      </c>
    </row>
    <row r="30" spans="1:9">
      <c r="A30">
        <f t="shared" si="1"/>
        <v>75</v>
      </c>
      <c r="B30">
        <v>3000</v>
      </c>
      <c r="C30">
        <v>16</v>
      </c>
      <c r="D30">
        <v>12.224268</v>
      </c>
      <c r="E30">
        <f t="shared" si="0"/>
        <v>12.155113</v>
      </c>
      <c r="F30">
        <f t="shared" si="2"/>
        <v>46.188213888699998</v>
      </c>
      <c r="G30" s="6">
        <f t="shared" si="3"/>
        <v>9.6225445601458327E-3</v>
      </c>
      <c r="H30">
        <f t="shared" si="4"/>
        <v>923.76427777399999</v>
      </c>
    </row>
    <row r="31" spans="1:9">
      <c r="A31">
        <f t="shared" si="1"/>
        <v>80</v>
      </c>
      <c r="B31">
        <v>3200</v>
      </c>
      <c r="C31">
        <v>17</v>
      </c>
      <c r="D31">
        <v>12.545494</v>
      </c>
      <c r="E31">
        <f t="shared" si="0"/>
        <v>12.476338999999999</v>
      </c>
      <c r="F31">
        <f t="shared" si="2"/>
        <v>47.408840566099997</v>
      </c>
      <c r="G31" s="6">
        <f t="shared" si="3"/>
        <v>9.8768417846041654E-3</v>
      </c>
      <c r="H31">
        <f t="shared" si="4"/>
        <v>948.17681132199993</v>
      </c>
    </row>
    <row r="32" spans="1:9">
      <c r="A32">
        <f t="shared" si="1"/>
        <v>85</v>
      </c>
      <c r="B32">
        <v>3400</v>
      </c>
      <c r="C32">
        <v>18</v>
      </c>
      <c r="D32">
        <v>12.720764000000001</v>
      </c>
      <c r="E32">
        <f t="shared" si="0"/>
        <v>12.651609000000001</v>
      </c>
      <c r="F32">
        <f t="shared" si="2"/>
        <v>48.074849039100002</v>
      </c>
      <c r="G32" s="6">
        <f t="shared" si="3"/>
        <v>1.0015593549812501E-2</v>
      </c>
      <c r="H32">
        <f t="shared" si="4"/>
        <v>961.49698078200004</v>
      </c>
    </row>
    <row r="33" spans="1:8">
      <c r="A33">
        <f t="shared" si="1"/>
        <v>90</v>
      </c>
      <c r="B33">
        <v>3600</v>
      </c>
      <c r="C33">
        <v>19</v>
      </c>
      <c r="D33">
        <v>12.920203000000001</v>
      </c>
      <c r="E33">
        <f t="shared" si="0"/>
        <v>12.851048</v>
      </c>
      <c r="F33">
        <f t="shared" si="2"/>
        <v>48.832697295199999</v>
      </c>
      <c r="G33" s="6">
        <f t="shared" si="3"/>
        <v>1.0173478603166666E-2</v>
      </c>
      <c r="H33">
        <f t="shared" si="4"/>
        <v>976.6539459039999</v>
      </c>
    </row>
    <row r="34" spans="1:8">
      <c r="A34">
        <f t="shared" si="1"/>
        <v>95</v>
      </c>
      <c r="B34">
        <v>3800</v>
      </c>
      <c r="C34">
        <v>20</v>
      </c>
      <c r="D34">
        <v>13.14443</v>
      </c>
      <c r="E34">
        <f t="shared" si="0"/>
        <v>13.075275</v>
      </c>
      <c r="F34">
        <f t="shared" si="2"/>
        <v>49.684737472499997</v>
      </c>
      <c r="G34" s="6">
        <f t="shared" si="3"/>
        <v>1.0350986973437499E-2</v>
      </c>
      <c r="H34">
        <f t="shared" si="4"/>
        <v>993.6947494499999</v>
      </c>
    </row>
    <row r="35" spans="1:8">
      <c r="A35">
        <f t="shared" si="1"/>
        <v>100</v>
      </c>
      <c r="B35">
        <v>4000</v>
      </c>
      <c r="C35">
        <v>21</v>
      </c>
      <c r="D35">
        <v>13.289403999999999</v>
      </c>
      <c r="E35">
        <f t="shared" si="0"/>
        <v>13.220248999999999</v>
      </c>
      <c r="F35">
        <f t="shared" si="2"/>
        <v>50.2356241751</v>
      </c>
      <c r="G35" s="6">
        <f t="shared" si="3"/>
        <v>1.0465755036479165E-2</v>
      </c>
      <c r="H35">
        <f t="shared" si="4"/>
        <v>1004.7124835019998</v>
      </c>
    </row>
    <row r="43" spans="1:8">
      <c r="D43" t="s">
        <v>4</v>
      </c>
      <c r="G43" s="2"/>
    </row>
    <row r="44" spans="1:8">
      <c r="A44" t="s">
        <v>10</v>
      </c>
      <c r="B44" t="s">
        <v>18</v>
      </c>
      <c r="C44" t="s">
        <v>17</v>
      </c>
      <c r="D44" t="s">
        <v>0</v>
      </c>
      <c r="E44" t="s">
        <v>22</v>
      </c>
      <c r="F44" t="s">
        <v>3</v>
      </c>
      <c r="G44" s="6" t="s">
        <v>12</v>
      </c>
    </row>
    <row r="45" spans="1:8">
      <c r="A45">
        <f>B45/40</f>
        <v>0</v>
      </c>
      <c r="B45">
        <v>0</v>
      </c>
      <c r="C45">
        <v>0</v>
      </c>
      <c r="D45">
        <v>0</v>
      </c>
      <c r="E45">
        <f>D45-$I$2</f>
        <v>-2.0424999999999999E-2</v>
      </c>
      <c r="F45">
        <f>2.3226*E45</f>
        <v>-4.7439104999999995E-2</v>
      </c>
      <c r="G45" s="6">
        <f>F45*20/35.5/1000</f>
        <v>-2.6726256338028164E-5</v>
      </c>
      <c r="H45">
        <f>G45*35.5*1000</f>
        <v>-0.94878209999999985</v>
      </c>
    </row>
    <row r="46" spans="1:8">
      <c r="A46">
        <f t="shared" ref="A46:A66" si="5">B46/40</f>
        <v>0</v>
      </c>
      <c r="B46">
        <v>0</v>
      </c>
      <c r="C46">
        <v>1</v>
      </c>
      <c r="D46">
        <v>15.63724</v>
      </c>
      <c r="E46">
        <f t="shared" ref="E46:E66" si="6">D46-$I$2</f>
        <v>15.616815000000001</v>
      </c>
      <c r="F46">
        <f t="shared" ref="F46:F66" si="7">2.3226*E46</f>
        <v>36.271614519000003</v>
      </c>
      <c r="G46" s="6">
        <f t="shared" ref="G46:G66" si="8">F46*20/35.5/1000</f>
        <v>2.0434712405070426E-2</v>
      </c>
      <c r="H46">
        <f t="shared" ref="H46:H66" si="9">G46*35.5*1000</f>
        <v>725.43229038000015</v>
      </c>
    </row>
    <row r="47" spans="1:8">
      <c r="A47">
        <f t="shared" si="5"/>
        <v>5</v>
      </c>
      <c r="B47">
        <v>200</v>
      </c>
      <c r="C47">
        <v>2</v>
      </c>
      <c r="D47">
        <v>14.387854000000001</v>
      </c>
      <c r="E47">
        <f t="shared" si="6"/>
        <v>14.367429000000001</v>
      </c>
      <c r="F47">
        <f t="shared" si="7"/>
        <v>33.369790595400005</v>
      </c>
      <c r="G47" s="6">
        <f t="shared" si="8"/>
        <v>1.8799882025577468E-2</v>
      </c>
      <c r="H47">
        <f t="shared" si="9"/>
        <v>667.39581190800016</v>
      </c>
    </row>
    <row r="48" spans="1:8">
      <c r="A48">
        <f t="shared" si="5"/>
        <v>10</v>
      </c>
      <c r="B48">
        <v>400</v>
      </c>
      <c r="C48">
        <v>3</v>
      </c>
      <c r="D48">
        <v>2.3753389999999999</v>
      </c>
      <c r="E48">
        <f t="shared" si="6"/>
        <v>2.354914</v>
      </c>
      <c r="F48">
        <f t="shared" si="7"/>
        <v>5.4695232563999996</v>
      </c>
      <c r="G48" s="6">
        <f>F48*100/35.5/1000</f>
        <v>1.5407107764507041E-2</v>
      </c>
      <c r="H48">
        <f t="shared" si="9"/>
        <v>546.95232563999991</v>
      </c>
    </row>
    <row r="49" spans="1:12">
      <c r="A49">
        <f t="shared" si="5"/>
        <v>15</v>
      </c>
      <c r="B49">
        <v>600</v>
      </c>
      <c r="C49">
        <v>4</v>
      </c>
      <c r="D49">
        <v>13.934380000000001</v>
      </c>
      <c r="E49">
        <f t="shared" si="6"/>
        <v>13.913955000000001</v>
      </c>
      <c r="F49">
        <f t="shared" si="7"/>
        <v>32.316551883000002</v>
      </c>
      <c r="G49" s="6">
        <f t="shared" si="8"/>
        <v>1.8206508103098592E-2</v>
      </c>
      <c r="H49">
        <f t="shared" si="9"/>
        <v>646.33103765999999</v>
      </c>
    </row>
    <row r="50" spans="1:12">
      <c r="A50">
        <f t="shared" si="5"/>
        <v>20</v>
      </c>
      <c r="B50">
        <v>800</v>
      </c>
      <c r="C50">
        <v>5</v>
      </c>
      <c r="D50">
        <v>12.457050000000001</v>
      </c>
      <c r="E50">
        <f t="shared" si="6"/>
        <v>12.436625000000001</v>
      </c>
      <c r="F50">
        <f t="shared" si="7"/>
        <v>28.885305225000003</v>
      </c>
      <c r="G50" s="6">
        <f t="shared" si="8"/>
        <v>1.6273411394366201E-2</v>
      </c>
      <c r="H50">
        <f t="shared" si="9"/>
        <v>577.70610450000015</v>
      </c>
    </row>
    <row r="51" spans="1:12">
      <c r="A51">
        <f t="shared" si="5"/>
        <v>25</v>
      </c>
      <c r="B51">
        <v>1000</v>
      </c>
      <c r="C51">
        <v>6</v>
      </c>
      <c r="D51">
        <v>10.183102999999999</v>
      </c>
      <c r="E51">
        <f t="shared" si="6"/>
        <v>10.162678</v>
      </c>
      <c r="F51">
        <f t="shared" si="7"/>
        <v>23.603835922799998</v>
      </c>
      <c r="G51" s="6">
        <f t="shared" si="8"/>
        <v>1.3297935731154929E-2</v>
      </c>
      <c r="H51">
        <f t="shared" si="9"/>
        <v>472.07671845599998</v>
      </c>
    </row>
    <row r="52" spans="1:12">
      <c r="A52">
        <f t="shared" si="5"/>
        <v>30</v>
      </c>
      <c r="B52">
        <v>1200</v>
      </c>
      <c r="C52">
        <v>7</v>
      </c>
      <c r="D52">
        <v>8.2510290000000008</v>
      </c>
      <c r="E52">
        <f t="shared" si="6"/>
        <v>8.2306040000000014</v>
      </c>
      <c r="F52">
        <f t="shared" si="7"/>
        <v>19.116400850400002</v>
      </c>
      <c r="G52" s="6">
        <f t="shared" si="8"/>
        <v>1.0769803296E-2</v>
      </c>
      <c r="H52">
        <f t="shared" si="9"/>
        <v>382.32801700800002</v>
      </c>
    </row>
    <row r="53" spans="1:12">
      <c r="A53">
        <f t="shared" si="5"/>
        <v>35</v>
      </c>
      <c r="B53">
        <v>1400</v>
      </c>
      <c r="C53">
        <v>8</v>
      </c>
      <c r="D53">
        <v>6.6634799999999998</v>
      </c>
      <c r="E53">
        <f t="shared" si="6"/>
        <v>6.6430549999999995</v>
      </c>
      <c r="F53">
        <f t="shared" si="7"/>
        <v>15.429159542999999</v>
      </c>
      <c r="G53" s="6">
        <f t="shared" si="8"/>
        <v>8.6924842495774649E-3</v>
      </c>
      <c r="H53">
        <f t="shared" si="9"/>
        <v>308.58319086</v>
      </c>
    </row>
    <row r="54" spans="1:12">
      <c r="A54">
        <f t="shared" si="5"/>
        <v>40</v>
      </c>
      <c r="B54">
        <v>1600</v>
      </c>
      <c r="C54">
        <v>9</v>
      </c>
      <c r="D54">
        <v>5.3177250000000003</v>
      </c>
      <c r="E54">
        <f t="shared" si="6"/>
        <v>5.2972999999999999</v>
      </c>
      <c r="F54">
        <f t="shared" si="7"/>
        <v>12.30350898</v>
      </c>
      <c r="G54" s="6">
        <f t="shared" si="8"/>
        <v>6.9315543549295783E-3</v>
      </c>
      <c r="H54">
        <f t="shared" si="9"/>
        <v>246.07017960000002</v>
      </c>
    </row>
    <row r="55" spans="1:12">
      <c r="A55">
        <f t="shared" si="5"/>
        <v>45</v>
      </c>
      <c r="B55">
        <v>1800</v>
      </c>
      <c r="C55">
        <v>10</v>
      </c>
      <c r="D55">
        <v>4.2741199999999999</v>
      </c>
      <c r="E55">
        <f t="shared" si="6"/>
        <v>4.2536949999999996</v>
      </c>
      <c r="F55">
        <f t="shared" si="7"/>
        <v>9.8796320069999997</v>
      </c>
      <c r="G55" s="6">
        <f t="shared" si="8"/>
        <v>5.5659898630985912E-3</v>
      </c>
      <c r="H55">
        <f t="shared" si="9"/>
        <v>197.59264013999999</v>
      </c>
    </row>
    <row r="56" spans="1:12">
      <c r="A56">
        <f t="shared" si="5"/>
        <v>50</v>
      </c>
      <c r="B56">
        <v>2000</v>
      </c>
      <c r="C56">
        <v>11</v>
      </c>
      <c r="D56">
        <v>3.5416880000000002</v>
      </c>
      <c r="E56">
        <f t="shared" si="6"/>
        <v>3.5212630000000003</v>
      </c>
      <c r="F56">
        <f t="shared" si="7"/>
        <v>8.1784854438000014</v>
      </c>
      <c r="G56" s="6">
        <f t="shared" si="8"/>
        <v>4.6075974331267616E-3</v>
      </c>
      <c r="H56">
        <f t="shared" si="9"/>
        <v>163.56970887600002</v>
      </c>
    </row>
    <row r="57" spans="1:12">
      <c r="A57">
        <f t="shared" si="5"/>
        <v>55</v>
      </c>
      <c r="B57">
        <v>2200</v>
      </c>
      <c r="C57">
        <v>12</v>
      </c>
      <c r="D57">
        <v>2.87616</v>
      </c>
      <c r="E57">
        <f t="shared" si="6"/>
        <v>2.8557350000000001</v>
      </c>
      <c r="F57">
        <f t="shared" si="7"/>
        <v>6.6327301109999999</v>
      </c>
      <c r="G57" s="6">
        <f t="shared" si="8"/>
        <v>3.7367493583098589E-3</v>
      </c>
      <c r="H57">
        <f t="shared" si="9"/>
        <v>132.65460221999999</v>
      </c>
    </row>
    <row r="58" spans="1:12">
      <c r="A58">
        <f t="shared" si="5"/>
        <v>60</v>
      </c>
      <c r="B58">
        <v>2400</v>
      </c>
      <c r="C58">
        <v>13</v>
      </c>
      <c r="D58">
        <v>2.362698</v>
      </c>
      <c r="E58">
        <f t="shared" si="6"/>
        <v>2.342273</v>
      </c>
      <c r="F58">
        <f t="shared" si="7"/>
        <v>5.4401632698000002</v>
      </c>
      <c r="G58" s="6">
        <f t="shared" si="8"/>
        <v>3.0648807153802818E-3</v>
      </c>
      <c r="H58">
        <f t="shared" si="9"/>
        <v>108.803265396</v>
      </c>
    </row>
    <row r="59" spans="1:12">
      <c r="A59">
        <f t="shared" si="5"/>
        <v>65</v>
      </c>
      <c r="B59">
        <v>2600</v>
      </c>
      <c r="C59">
        <v>14</v>
      </c>
      <c r="D59">
        <v>1.943727</v>
      </c>
      <c r="E59">
        <f t="shared" si="6"/>
        <v>1.9233020000000001</v>
      </c>
      <c r="F59">
        <f t="shared" si="7"/>
        <v>4.4670612252000002</v>
      </c>
      <c r="G59" s="6">
        <f t="shared" si="8"/>
        <v>2.5166542113802819E-3</v>
      </c>
      <c r="H59">
        <f t="shared" si="9"/>
        <v>89.34122450400001</v>
      </c>
    </row>
    <row r="60" spans="1:12">
      <c r="A60">
        <f t="shared" si="5"/>
        <v>70</v>
      </c>
      <c r="B60">
        <v>2800</v>
      </c>
      <c r="C60">
        <v>15</v>
      </c>
      <c r="D60">
        <v>1.631151</v>
      </c>
      <c r="E60">
        <f t="shared" si="6"/>
        <v>1.6107260000000001</v>
      </c>
      <c r="F60">
        <f t="shared" si="7"/>
        <v>3.7410722076000003</v>
      </c>
      <c r="G60" s="6">
        <f t="shared" si="8"/>
        <v>2.1076463141408448E-3</v>
      </c>
      <c r="H60">
        <f t="shared" si="9"/>
        <v>74.821444151999984</v>
      </c>
    </row>
    <row r="61" spans="1:12">
      <c r="A61">
        <f t="shared" si="5"/>
        <v>75</v>
      </c>
      <c r="B61">
        <v>3000</v>
      </c>
      <c r="C61">
        <v>16</v>
      </c>
      <c r="D61">
        <v>1.3645320000000001</v>
      </c>
      <c r="E61">
        <f t="shared" si="6"/>
        <v>1.3441070000000002</v>
      </c>
      <c r="F61">
        <f t="shared" si="7"/>
        <v>3.1218229182000004</v>
      </c>
      <c r="G61" s="6">
        <f t="shared" si="8"/>
        <v>1.7587734750422537E-3</v>
      </c>
      <c r="H61">
        <f t="shared" si="9"/>
        <v>62.436458364000011</v>
      </c>
    </row>
    <row r="62" spans="1:12">
      <c r="A62">
        <f t="shared" si="5"/>
        <v>80</v>
      </c>
      <c r="B62">
        <v>3200</v>
      </c>
      <c r="C62">
        <v>17</v>
      </c>
      <c r="D62">
        <v>1.157991</v>
      </c>
      <c r="E62">
        <f t="shared" si="6"/>
        <v>1.1375660000000001</v>
      </c>
      <c r="F62">
        <f t="shared" si="7"/>
        <v>2.6421107916000004</v>
      </c>
      <c r="G62" s="6">
        <f t="shared" si="8"/>
        <v>1.4885131220281694E-3</v>
      </c>
      <c r="H62">
        <f t="shared" si="9"/>
        <v>52.842215832000015</v>
      </c>
    </row>
    <row r="63" spans="1:12">
      <c r="A63">
        <f t="shared" si="5"/>
        <v>85</v>
      </c>
      <c r="B63">
        <v>3400</v>
      </c>
      <c r="C63">
        <v>18</v>
      </c>
      <c r="D63">
        <v>0.97561299999999995</v>
      </c>
      <c r="E63">
        <f t="shared" si="6"/>
        <v>0.95518799999999993</v>
      </c>
      <c r="F63">
        <f t="shared" si="7"/>
        <v>2.2185196487999996</v>
      </c>
      <c r="G63" s="6">
        <f t="shared" si="8"/>
        <v>1.2498702246760561E-3</v>
      </c>
      <c r="H63">
        <f t="shared" si="9"/>
        <v>44.370392975999991</v>
      </c>
    </row>
    <row r="64" spans="1:12">
      <c r="A64">
        <f t="shared" si="5"/>
        <v>90</v>
      </c>
      <c r="B64">
        <v>3600</v>
      </c>
      <c r="C64">
        <v>19</v>
      </c>
      <c r="D64">
        <v>0.806141</v>
      </c>
      <c r="E64">
        <f t="shared" si="6"/>
        <v>0.78571599999999997</v>
      </c>
      <c r="F64">
        <f t="shared" si="7"/>
        <v>1.8249039815999999</v>
      </c>
      <c r="G64" s="6">
        <f t="shared" si="8"/>
        <v>1.0281149192112675E-3</v>
      </c>
      <c r="H64">
        <f t="shared" si="9"/>
        <v>36.498079632</v>
      </c>
      <c r="L64" t="s">
        <v>26</v>
      </c>
    </row>
    <row r="65" spans="1:8">
      <c r="A65">
        <f t="shared" si="5"/>
        <v>95</v>
      </c>
      <c r="B65">
        <v>3800</v>
      </c>
      <c r="C65">
        <v>20</v>
      </c>
      <c r="D65">
        <v>0.69312399999999996</v>
      </c>
      <c r="E65">
        <f t="shared" si="6"/>
        <v>0.67269899999999994</v>
      </c>
      <c r="F65">
        <f t="shared" si="7"/>
        <v>1.5624106973999998</v>
      </c>
      <c r="G65" s="6">
        <f t="shared" si="8"/>
        <v>8.8023137881690122E-4</v>
      </c>
      <c r="H65">
        <f t="shared" si="9"/>
        <v>31.248213947999997</v>
      </c>
    </row>
    <row r="66" spans="1:8">
      <c r="A66">
        <f t="shared" si="5"/>
        <v>100</v>
      </c>
      <c r="B66">
        <v>4000</v>
      </c>
      <c r="C66">
        <v>21</v>
      </c>
      <c r="D66">
        <v>0.58918400000000004</v>
      </c>
      <c r="E66">
        <f t="shared" si="6"/>
        <v>0.56875900000000001</v>
      </c>
      <c r="F66">
        <f t="shared" si="7"/>
        <v>1.3209996534000001</v>
      </c>
      <c r="G66" s="6">
        <f t="shared" si="8"/>
        <v>7.4422515684507051E-4</v>
      </c>
      <c r="H66">
        <f t="shared" si="9"/>
        <v>26.419993068000004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B8FD6-B8B5-466C-BD04-5155A6103867}">
  <dimension ref="A1:J66"/>
  <sheetViews>
    <sheetView workbookViewId="0">
      <selection activeCell="H23" sqref="H23"/>
    </sheetView>
  </sheetViews>
  <sheetFormatPr defaultRowHeight="14.5"/>
  <cols>
    <col min="4" max="4" width="18.90625" customWidth="1"/>
    <col min="5" max="5" width="15.7265625" customWidth="1"/>
    <col min="6" max="6" width="17.36328125" style="6" customWidth="1"/>
    <col min="7" max="7" width="13.453125" customWidth="1"/>
    <col min="8" max="8" width="9.81640625" customWidth="1"/>
    <col min="9" max="9" width="17.453125" customWidth="1"/>
    <col min="12" max="12" width="15.453125" customWidth="1"/>
  </cols>
  <sheetData>
    <row r="1" spans="1:10">
      <c r="A1" t="s">
        <v>29</v>
      </c>
    </row>
    <row r="2" spans="1:10">
      <c r="A2" t="s">
        <v>30</v>
      </c>
      <c r="B2" t="s">
        <v>0</v>
      </c>
      <c r="C2" t="s">
        <v>1</v>
      </c>
      <c r="D2" s="6"/>
    </row>
    <row r="3" spans="1:10">
      <c r="B3" s="4">
        <v>0</v>
      </c>
      <c r="C3">
        <v>0</v>
      </c>
      <c r="D3" s="6"/>
    </row>
    <row r="4" spans="1:10">
      <c r="B4" s="4">
        <v>1.8344</v>
      </c>
      <c r="C4">
        <v>5</v>
      </c>
      <c r="D4" s="6"/>
    </row>
    <row r="5" spans="1:10">
      <c r="B5" s="4">
        <v>3.5794999999999999</v>
      </c>
      <c r="C5">
        <v>10</v>
      </c>
      <c r="D5" s="6"/>
    </row>
    <row r="6" spans="1:10">
      <c r="B6" s="4">
        <v>8.5602999999999998</v>
      </c>
      <c r="C6">
        <v>25</v>
      </c>
      <c r="D6" s="6"/>
    </row>
    <row r="7" spans="1:10">
      <c r="B7" s="4">
        <v>17.270099999999999</v>
      </c>
      <c r="C7">
        <v>50</v>
      </c>
      <c r="D7" s="6"/>
    </row>
    <row r="8" spans="1:10">
      <c r="B8" s="3">
        <v>36.131599999999999</v>
      </c>
      <c r="C8">
        <v>100</v>
      </c>
      <c r="D8" s="6"/>
    </row>
    <row r="13" spans="1:10">
      <c r="A13" t="s">
        <v>10</v>
      </c>
      <c r="B13" t="s">
        <v>18</v>
      </c>
      <c r="C13" t="s">
        <v>17</v>
      </c>
      <c r="D13" t="s">
        <v>0</v>
      </c>
      <c r="E13" t="s">
        <v>22</v>
      </c>
      <c r="F13" t="s">
        <v>3</v>
      </c>
      <c r="G13" s="6" t="s">
        <v>12</v>
      </c>
      <c r="H13" s="1" t="s">
        <v>13</v>
      </c>
      <c r="J13" s="2"/>
    </row>
    <row r="14" spans="1:10">
      <c r="A14">
        <f>B14/40</f>
        <v>0</v>
      </c>
      <c r="B14">
        <v>0</v>
      </c>
      <c r="C14">
        <v>0</v>
      </c>
      <c r="D14">
        <v>12.338699999999999</v>
      </c>
      <c r="E14">
        <f t="shared" ref="E14:E15" si="0">D14-$H$2</f>
        <v>12.338699999999999</v>
      </c>
      <c r="F14">
        <f>2.7968*E14</f>
        <v>34.50887616</v>
      </c>
      <c r="G14" s="6">
        <f>F14*50/18/1000</f>
        <v>9.5857989333333338E-2</v>
      </c>
      <c r="H14">
        <f>G14*18*1000</f>
        <v>1725.443808</v>
      </c>
    </row>
    <row r="15" spans="1:10">
      <c r="A15">
        <f>B15/100</f>
        <v>40</v>
      </c>
      <c r="B15">
        <v>4000</v>
      </c>
      <c r="C15">
        <v>1</v>
      </c>
      <c r="D15">
        <v>8.8351000000000006</v>
      </c>
      <c r="E15">
        <f t="shared" si="0"/>
        <v>8.8351000000000006</v>
      </c>
      <c r="F15">
        <f>2.7968*E15</f>
        <v>24.710007680000004</v>
      </c>
      <c r="G15" s="6">
        <f>F15*50/18/1000</f>
        <v>6.8638910222222238E-2</v>
      </c>
      <c r="H15">
        <f>G15*18*1000</f>
        <v>1235.5003840000004</v>
      </c>
    </row>
    <row r="16" spans="1:10">
      <c r="F16"/>
      <c r="G16" s="6"/>
    </row>
    <row r="17" spans="6:9">
      <c r="F17"/>
      <c r="G17" s="6"/>
    </row>
    <row r="18" spans="6:9">
      <c r="F18"/>
      <c r="G18" s="6"/>
    </row>
    <row r="19" spans="6:9">
      <c r="F19"/>
      <c r="G19" s="6"/>
    </row>
    <row r="20" spans="6:9">
      <c r="F20"/>
      <c r="G20" s="6"/>
    </row>
    <row r="21" spans="6:9">
      <c r="F21"/>
      <c r="G21" s="6"/>
    </row>
    <row r="22" spans="6:9">
      <c r="F22"/>
      <c r="G22" s="6"/>
    </row>
    <row r="23" spans="6:9">
      <c r="F23"/>
      <c r="G23" s="6"/>
    </row>
    <row r="24" spans="6:9">
      <c r="F24"/>
      <c r="G24" s="6"/>
    </row>
    <row r="25" spans="6:9">
      <c r="F25"/>
      <c r="G25" s="6"/>
    </row>
    <row r="26" spans="6:9">
      <c r="F26"/>
      <c r="G26" s="6"/>
      <c r="I26" s="2"/>
    </row>
    <row r="27" spans="6:9">
      <c r="F27"/>
      <c r="G27" s="6"/>
      <c r="I27" s="2"/>
    </row>
    <row r="28" spans="6:9">
      <c r="F28"/>
      <c r="G28" s="6"/>
    </row>
    <row r="29" spans="6:9">
      <c r="F29"/>
      <c r="G29" s="6"/>
    </row>
    <row r="30" spans="6:9">
      <c r="F30"/>
      <c r="G30" s="6"/>
    </row>
    <row r="31" spans="6:9">
      <c r="F31"/>
      <c r="G31" s="6"/>
    </row>
    <row r="32" spans="6:9">
      <c r="F32"/>
      <c r="G32" s="6"/>
    </row>
    <row r="33" spans="6:7">
      <c r="F33"/>
      <c r="G33" s="6"/>
    </row>
    <row r="34" spans="6:7">
      <c r="F34"/>
      <c r="G34" s="6"/>
    </row>
    <row r="35" spans="6:7">
      <c r="F35"/>
      <c r="G35" s="6"/>
    </row>
    <row r="43" spans="6:7">
      <c r="G43" s="2"/>
    </row>
    <row r="44" spans="6:7">
      <c r="F44"/>
      <c r="G44" s="6"/>
    </row>
    <row r="45" spans="6:7">
      <c r="F45"/>
      <c r="G45" s="6"/>
    </row>
    <row r="46" spans="6:7">
      <c r="F46"/>
      <c r="G46" s="6"/>
    </row>
    <row r="47" spans="6:7">
      <c r="F47"/>
      <c r="G47" s="6"/>
    </row>
    <row r="48" spans="6:7">
      <c r="F48"/>
      <c r="G48" s="6"/>
    </row>
    <row r="49" spans="6:7">
      <c r="F49"/>
      <c r="G49" s="6"/>
    </row>
    <row r="50" spans="6:7">
      <c r="F50"/>
      <c r="G50" s="6"/>
    </row>
    <row r="51" spans="6:7">
      <c r="F51"/>
      <c r="G51" s="6"/>
    </row>
    <row r="52" spans="6:7">
      <c r="F52"/>
      <c r="G52" s="6"/>
    </row>
    <row r="53" spans="6:7">
      <c r="F53"/>
      <c r="G53" s="6"/>
    </row>
    <row r="54" spans="6:7">
      <c r="F54"/>
      <c r="G54" s="6"/>
    </row>
    <row r="55" spans="6:7">
      <c r="F55"/>
      <c r="G55" s="6"/>
    </row>
    <row r="56" spans="6:7">
      <c r="F56"/>
      <c r="G56" s="6"/>
    </row>
    <row r="57" spans="6:7">
      <c r="F57"/>
      <c r="G57" s="6"/>
    </row>
    <row r="58" spans="6:7">
      <c r="F58"/>
      <c r="G58" s="6"/>
    </row>
    <row r="59" spans="6:7">
      <c r="F59"/>
      <c r="G59" s="6"/>
    </row>
    <row r="60" spans="6:7">
      <c r="F60"/>
      <c r="G60" s="6"/>
    </row>
    <row r="61" spans="6:7">
      <c r="F61"/>
      <c r="G61" s="6"/>
    </row>
    <row r="62" spans="6:7">
      <c r="F62"/>
      <c r="G62" s="6"/>
    </row>
    <row r="63" spans="6:7">
      <c r="F63"/>
      <c r="G63" s="6"/>
    </row>
    <row r="64" spans="6:7">
      <c r="F64"/>
      <c r="G64" s="6"/>
    </row>
    <row r="65" spans="6:7">
      <c r="F65"/>
      <c r="G65" s="6"/>
    </row>
    <row r="66" spans="6:7">
      <c r="F66"/>
      <c r="G66" s="6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D73C-4F34-4BF9-8E08-1990241F498C}">
  <dimension ref="A1:J66"/>
  <sheetViews>
    <sheetView topLeftCell="A19" workbookViewId="0">
      <selection activeCell="H19" sqref="H19"/>
    </sheetView>
  </sheetViews>
  <sheetFormatPr defaultRowHeight="14.5"/>
  <cols>
    <col min="4" max="4" width="18.90625" customWidth="1"/>
    <col min="5" max="5" width="15.7265625" customWidth="1"/>
    <col min="6" max="6" width="17.36328125" style="6" customWidth="1"/>
    <col min="7" max="7" width="13.453125" customWidth="1"/>
    <col min="8" max="8" width="14.1796875" customWidth="1"/>
    <col min="9" max="9" width="17.453125" customWidth="1"/>
    <col min="12" max="12" width="15.453125" customWidth="1"/>
  </cols>
  <sheetData>
    <row r="1" spans="1:10">
      <c r="A1" t="s">
        <v>32</v>
      </c>
      <c r="H1" t="s">
        <v>20</v>
      </c>
      <c r="I1" t="s">
        <v>21</v>
      </c>
    </row>
    <row r="2" spans="1:10">
      <c r="A2" t="s">
        <v>5</v>
      </c>
      <c r="B2" t="s">
        <v>0</v>
      </c>
      <c r="C2" t="s">
        <v>1</v>
      </c>
      <c r="D2" s="6"/>
      <c r="E2" t="s">
        <v>4</v>
      </c>
      <c r="F2" t="s">
        <v>0</v>
      </c>
      <c r="G2" t="s">
        <v>1</v>
      </c>
      <c r="H2">
        <v>0.09</v>
      </c>
      <c r="I2">
        <v>0</v>
      </c>
    </row>
    <row r="3" spans="1:10">
      <c r="B3" s="4">
        <v>0</v>
      </c>
      <c r="C3">
        <v>0</v>
      </c>
      <c r="D3" s="6"/>
      <c r="F3" s="4">
        <v>0</v>
      </c>
      <c r="G3">
        <v>0</v>
      </c>
    </row>
    <row r="4" spans="1:10">
      <c r="B4" s="4">
        <f>1.510315-0.09</f>
        <v>1.420315</v>
      </c>
      <c r="C4">
        <v>5</v>
      </c>
      <c r="D4" s="6"/>
      <c r="F4" s="3">
        <v>0.34081400000000001</v>
      </c>
      <c r="G4">
        <v>1</v>
      </c>
    </row>
    <row r="5" spans="1:10">
      <c r="B5" s="4">
        <f>2.945668-0.09</f>
        <v>2.8556680000000001</v>
      </c>
      <c r="C5">
        <v>10</v>
      </c>
      <c r="D5" s="6"/>
      <c r="F5" s="3">
        <v>1.8571869999999999</v>
      </c>
      <c r="G5">
        <v>5</v>
      </c>
    </row>
    <row r="6" spans="1:10">
      <c r="B6" s="4">
        <f>4.433998-0.09</f>
        <v>4.343998</v>
      </c>
      <c r="C6">
        <v>15</v>
      </c>
      <c r="D6" s="6"/>
      <c r="F6" s="3">
        <v>3.9211369999999999</v>
      </c>
      <c r="G6">
        <v>10</v>
      </c>
    </row>
    <row r="7" spans="1:10">
      <c r="B7" s="4">
        <f>7.297986-0.09</f>
        <v>7.207986</v>
      </c>
      <c r="C7">
        <v>25</v>
      </c>
      <c r="D7" s="6"/>
      <c r="F7" s="3">
        <v>8.2513480000000001</v>
      </c>
      <c r="G7">
        <v>20</v>
      </c>
    </row>
    <row r="8" spans="1:10">
      <c r="B8" s="3"/>
      <c r="D8" s="6"/>
      <c r="F8" s="3">
        <v>43.134417999999997</v>
      </c>
      <c r="G8">
        <v>100</v>
      </c>
    </row>
    <row r="12" spans="1:10">
      <c r="D12" t="s">
        <v>5</v>
      </c>
    </row>
    <row r="13" spans="1:10">
      <c r="A13" t="s">
        <v>10</v>
      </c>
      <c r="B13" t="s">
        <v>18</v>
      </c>
      <c r="C13" t="s">
        <v>17</v>
      </c>
      <c r="D13" t="s">
        <v>0</v>
      </c>
      <c r="E13" t="s">
        <v>22</v>
      </c>
      <c r="F13" t="s">
        <v>3</v>
      </c>
      <c r="G13" s="6" t="s">
        <v>16</v>
      </c>
      <c r="H13" s="1" t="s">
        <v>13</v>
      </c>
      <c r="J13" s="2"/>
    </row>
    <row r="14" spans="1:10">
      <c r="A14">
        <f>B14/40</f>
        <v>0</v>
      </c>
      <c r="B14">
        <v>0</v>
      </c>
      <c r="C14">
        <v>0</v>
      </c>
      <c r="D14">
        <v>0</v>
      </c>
      <c r="E14">
        <f>D14-$H$2</f>
        <v>-0.09</v>
      </c>
      <c r="F14">
        <f>3.4695*D14</f>
        <v>0</v>
      </c>
      <c r="G14" s="6">
        <f>F14*20/96/1000</f>
        <v>0</v>
      </c>
      <c r="H14">
        <f>G14*96*1000</f>
        <v>0</v>
      </c>
    </row>
    <row r="15" spans="1:10">
      <c r="A15">
        <f t="shared" ref="A15:A35" si="0">B15/40</f>
        <v>0</v>
      </c>
      <c r="B15">
        <v>0</v>
      </c>
      <c r="C15">
        <v>1</v>
      </c>
      <c r="D15">
        <v>21.201284000000001</v>
      </c>
      <c r="E15">
        <f t="shared" ref="E15:E35" si="1">D15-$H$2</f>
        <v>21.111284000000001</v>
      </c>
      <c r="F15">
        <f>3.4695*E15</f>
        <v>73.245599838000004</v>
      </c>
      <c r="G15" s="6">
        <f>F15*100/96/1000</f>
        <v>7.6297499831250004E-2</v>
      </c>
      <c r="H15">
        <f t="shared" ref="H15:H35" si="2">G15*96*1000</f>
        <v>7324.5599838000007</v>
      </c>
    </row>
    <row r="16" spans="1:10">
      <c r="A16">
        <f t="shared" si="0"/>
        <v>5</v>
      </c>
      <c r="B16">
        <v>200</v>
      </c>
      <c r="C16">
        <v>2</v>
      </c>
      <c r="D16">
        <v>3.662007</v>
      </c>
      <c r="E16">
        <f t="shared" si="1"/>
        <v>3.5720070000000002</v>
      </c>
      <c r="F16">
        <f t="shared" ref="F16:F35" si="3">3.4695*E16</f>
        <v>12.3930782865</v>
      </c>
      <c r="G16" s="6">
        <f t="shared" ref="G16:G35" si="4">F16*100/96/1000</f>
        <v>1.2909456548437498E-2</v>
      </c>
      <c r="H16">
        <f t="shared" si="2"/>
        <v>1239.3078286499999</v>
      </c>
    </row>
    <row r="17" spans="1:9">
      <c r="A17">
        <f t="shared" si="0"/>
        <v>10</v>
      </c>
      <c r="B17">
        <v>400</v>
      </c>
      <c r="C17">
        <v>3</v>
      </c>
      <c r="D17">
        <v>0.18692500000000001</v>
      </c>
      <c r="E17">
        <f t="shared" si="1"/>
        <v>9.6925000000000011E-2</v>
      </c>
      <c r="F17">
        <f t="shared" si="3"/>
        <v>0.33628128750000003</v>
      </c>
      <c r="G17" s="6">
        <f t="shared" si="4"/>
        <v>3.502930078125E-4</v>
      </c>
      <c r="H17">
        <f t="shared" si="2"/>
        <v>33.628128750000002</v>
      </c>
    </row>
    <row r="18" spans="1:9">
      <c r="A18">
        <f t="shared" si="0"/>
        <v>15</v>
      </c>
      <c r="B18">
        <v>600</v>
      </c>
      <c r="C18">
        <v>4</v>
      </c>
      <c r="D18">
        <v>0.124142</v>
      </c>
      <c r="E18">
        <f t="shared" si="1"/>
        <v>3.4142000000000006E-2</v>
      </c>
      <c r="F18">
        <f t="shared" si="3"/>
        <v>0.11845566900000003</v>
      </c>
      <c r="G18" s="6">
        <f t="shared" si="4"/>
        <v>1.2339132187500003E-4</v>
      </c>
      <c r="H18">
        <f t="shared" si="2"/>
        <v>11.845566900000003</v>
      </c>
    </row>
    <row r="19" spans="1:9">
      <c r="A19">
        <f t="shared" si="0"/>
        <v>20</v>
      </c>
      <c r="B19">
        <v>800</v>
      </c>
      <c r="C19">
        <v>5</v>
      </c>
      <c r="D19">
        <v>0.11448</v>
      </c>
      <c r="E19">
        <f t="shared" si="1"/>
        <v>2.4480000000000002E-2</v>
      </c>
      <c r="F19">
        <f t="shared" si="3"/>
        <v>8.4933360000000013E-2</v>
      </c>
      <c r="G19" s="6">
        <f t="shared" si="4"/>
        <v>8.847225000000002E-5</v>
      </c>
      <c r="H19">
        <f t="shared" si="2"/>
        <v>8.4933360000000029</v>
      </c>
    </row>
    <row r="20" spans="1:9">
      <c r="A20">
        <f t="shared" si="0"/>
        <v>25</v>
      </c>
      <c r="B20">
        <v>1000</v>
      </c>
      <c r="C20">
        <v>6</v>
      </c>
      <c r="D20">
        <v>0.11664099999999999</v>
      </c>
      <c r="E20">
        <f t="shared" si="1"/>
        <v>2.6640999999999998E-2</v>
      </c>
      <c r="F20">
        <f t="shared" si="3"/>
        <v>9.2430949499999998E-2</v>
      </c>
      <c r="G20" s="6">
        <f t="shared" si="4"/>
        <v>9.6282239062499991E-5</v>
      </c>
      <c r="H20">
        <f t="shared" si="2"/>
        <v>9.2430949499999997</v>
      </c>
    </row>
    <row r="21" spans="1:9">
      <c r="A21">
        <f t="shared" si="0"/>
        <v>30</v>
      </c>
      <c r="B21">
        <v>1200</v>
      </c>
      <c r="C21">
        <v>7</v>
      </c>
      <c r="D21">
        <v>0.103245</v>
      </c>
      <c r="E21">
        <f t="shared" si="1"/>
        <v>1.3245000000000007E-2</v>
      </c>
      <c r="F21">
        <f t="shared" si="3"/>
        <v>4.5953527500000022E-2</v>
      </c>
      <c r="G21" s="6">
        <f t="shared" si="4"/>
        <v>4.7868257812500017E-5</v>
      </c>
      <c r="H21">
        <f t="shared" si="2"/>
        <v>4.5953527500000018</v>
      </c>
    </row>
    <row r="22" spans="1:9">
      <c r="A22">
        <f t="shared" si="0"/>
        <v>35</v>
      </c>
      <c r="B22">
        <v>1400</v>
      </c>
      <c r="C22">
        <v>8</v>
      </c>
      <c r="D22">
        <v>0.115576</v>
      </c>
      <c r="E22">
        <f t="shared" si="1"/>
        <v>2.5576000000000002E-2</v>
      </c>
      <c r="F22">
        <f t="shared" si="3"/>
        <v>8.8735932000000003E-2</v>
      </c>
      <c r="G22" s="6">
        <f t="shared" si="4"/>
        <v>9.2433262499999995E-5</v>
      </c>
      <c r="H22">
        <f t="shared" si="2"/>
        <v>8.8735932000000002</v>
      </c>
    </row>
    <row r="23" spans="1:9">
      <c r="A23">
        <f t="shared" si="0"/>
        <v>40</v>
      </c>
      <c r="B23">
        <v>1600</v>
      </c>
      <c r="C23">
        <v>9</v>
      </c>
      <c r="D23">
        <v>0.102382</v>
      </c>
      <c r="E23">
        <f t="shared" si="1"/>
        <v>1.2382000000000004E-2</v>
      </c>
      <c r="F23">
        <f t="shared" si="3"/>
        <v>4.2959349000000015E-2</v>
      </c>
      <c r="G23" s="6">
        <f t="shared" si="4"/>
        <v>4.4749321875000016E-5</v>
      </c>
      <c r="H23">
        <f t="shared" si="2"/>
        <v>4.2959349000000016</v>
      </c>
    </row>
    <row r="24" spans="1:9">
      <c r="A24">
        <f t="shared" si="0"/>
        <v>45</v>
      </c>
      <c r="B24">
        <v>1800</v>
      </c>
      <c r="C24">
        <v>10</v>
      </c>
      <c r="D24">
        <v>9.8928000000000002E-2</v>
      </c>
      <c r="E24">
        <f t="shared" si="1"/>
        <v>8.9280000000000054E-3</v>
      </c>
      <c r="F24">
        <f t="shared" si="3"/>
        <v>3.0975696000000018E-2</v>
      </c>
      <c r="G24" s="6">
        <f t="shared" si="4"/>
        <v>3.2266350000000017E-5</v>
      </c>
      <c r="H24">
        <f t="shared" si="2"/>
        <v>3.0975696000000017</v>
      </c>
    </row>
    <row r="25" spans="1:9">
      <c r="A25">
        <f t="shared" si="0"/>
        <v>50</v>
      </c>
      <c r="B25">
        <v>2000</v>
      </c>
      <c r="C25">
        <v>11</v>
      </c>
      <c r="D25">
        <v>9.8344000000000001E-2</v>
      </c>
      <c r="E25">
        <f t="shared" si="1"/>
        <v>8.3440000000000042E-3</v>
      </c>
      <c r="F25">
        <f t="shared" si="3"/>
        <v>2.8949508000000016E-2</v>
      </c>
      <c r="G25" s="6">
        <f t="shared" si="4"/>
        <v>3.0155737500000016E-5</v>
      </c>
      <c r="H25">
        <f t="shared" si="2"/>
        <v>2.8949508000000015</v>
      </c>
    </row>
    <row r="26" spans="1:9">
      <c r="A26">
        <f t="shared" si="0"/>
        <v>55</v>
      </c>
      <c r="B26">
        <v>2200</v>
      </c>
      <c r="C26">
        <v>12</v>
      </c>
      <c r="D26">
        <v>9.9915000000000004E-2</v>
      </c>
      <c r="E26">
        <f t="shared" si="1"/>
        <v>9.9150000000000071E-3</v>
      </c>
      <c r="F26">
        <f t="shared" si="3"/>
        <v>3.4400092500000028E-2</v>
      </c>
      <c r="G26" s="6">
        <f t="shared" si="4"/>
        <v>3.5833429687500032E-5</v>
      </c>
      <c r="H26">
        <f t="shared" si="2"/>
        <v>3.4400092500000032</v>
      </c>
      <c r="I26" s="2"/>
    </row>
    <row r="27" spans="1:9">
      <c r="A27">
        <f t="shared" si="0"/>
        <v>60</v>
      </c>
      <c r="B27">
        <v>2400</v>
      </c>
      <c r="C27">
        <v>13</v>
      </c>
      <c r="D27">
        <v>9.9376000000000006E-2</v>
      </c>
      <c r="E27">
        <f t="shared" si="1"/>
        <v>9.3760000000000093E-3</v>
      </c>
      <c r="F27">
        <f t="shared" si="3"/>
        <v>3.2530032000000035E-2</v>
      </c>
      <c r="G27" s="6">
        <f t="shared" si="4"/>
        <v>3.388545000000003E-5</v>
      </c>
      <c r="H27">
        <f t="shared" si="2"/>
        <v>3.2530032000000024</v>
      </c>
      <c r="I27" s="2"/>
    </row>
    <row r="28" spans="1:9">
      <c r="A28">
        <f t="shared" si="0"/>
        <v>65</v>
      </c>
      <c r="B28">
        <v>2600</v>
      </c>
      <c r="C28">
        <v>14</v>
      </c>
      <c r="D28">
        <v>9.6911999999999998E-2</v>
      </c>
      <c r="E28">
        <f t="shared" si="1"/>
        <v>6.9120000000000015E-3</v>
      </c>
      <c r="F28">
        <f t="shared" si="3"/>
        <v>2.3981184000000006E-2</v>
      </c>
      <c r="G28" s="6">
        <f t="shared" si="4"/>
        <v>2.4980400000000002E-5</v>
      </c>
      <c r="H28">
        <f t="shared" si="2"/>
        <v>2.3981184000000004</v>
      </c>
    </row>
    <row r="29" spans="1:9">
      <c r="A29">
        <f t="shared" si="0"/>
        <v>70</v>
      </c>
      <c r="B29">
        <v>2800</v>
      </c>
      <c r="C29">
        <v>15</v>
      </c>
      <c r="D29">
        <v>9.8884E-2</v>
      </c>
      <c r="E29">
        <f t="shared" si="1"/>
        <v>8.884000000000003E-3</v>
      </c>
      <c r="F29">
        <f t="shared" si="3"/>
        <v>3.0823038000000011E-2</v>
      </c>
      <c r="G29" s="6">
        <f t="shared" si="4"/>
        <v>3.2107331250000007E-5</v>
      </c>
      <c r="H29">
        <f t="shared" si="2"/>
        <v>3.0823038000000009</v>
      </c>
    </row>
    <row r="30" spans="1:9">
      <c r="A30">
        <f t="shared" si="0"/>
        <v>75</v>
      </c>
      <c r="B30">
        <v>3000</v>
      </c>
      <c r="C30">
        <v>16</v>
      </c>
      <c r="D30">
        <v>9.7057000000000004E-2</v>
      </c>
      <c r="E30">
        <f t="shared" si="1"/>
        <v>7.0570000000000077E-3</v>
      </c>
      <c r="F30">
        <f t="shared" si="3"/>
        <v>2.4484261500000028E-2</v>
      </c>
      <c r="G30" s="6">
        <f t="shared" si="4"/>
        <v>2.5504439062500026E-5</v>
      </c>
      <c r="H30">
        <f t="shared" si="2"/>
        <v>2.4484261500000026</v>
      </c>
    </row>
    <row r="31" spans="1:9">
      <c r="A31">
        <f t="shared" si="0"/>
        <v>80</v>
      </c>
      <c r="B31">
        <v>3200</v>
      </c>
      <c r="C31">
        <v>17</v>
      </c>
      <c r="D31">
        <v>9.5979999999999996E-2</v>
      </c>
      <c r="E31">
        <f t="shared" si="1"/>
        <v>5.9799999999999992E-3</v>
      </c>
      <c r="F31">
        <f t="shared" si="3"/>
        <v>2.0747609999999996E-2</v>
      </c>
      <c r="G31" s="6">
        <f t="shared" si="4"/>
        <v>2.1612093749999994E-5</v>
      </c>
      <c r="H31">
        <f t="shared" si="2"/>
        <v>2.0747609999999996</v>
      </c>
    </row>
    <row r="32" spans="1:9">
      <c r="A32">
        <f t="shared" si="0"/>
        <v>85</v>
      </c>
      <c r="B32">
        <v>3400</v>
      </c>
      <c r="C32">
        <v>18</v>
      </c>
      <c r="D32">
        <v>9.5191999999999999E-2</v>
      </c>
      <c r="E32">
        <f t="shared" si="1"/>
        <v>5.1920000000000022E-3</v>
      </c>
      <c r="F32">
        <f t="shared" si="3"/>
        <v>1.8013644000000009E-2</v>
      </c>
      <c r="G32" s="6">
        <f t="shared" si="4"/>
        <v>1.876421250000001E-5</v>
      </c>
      <c r="H32">
        <f t="shared" si="2"/>
        <v>1.8013644000000009</v>
      </c>
    </row>
    <row r="33" spans="1:8">
      <c r="A33">
        <f t="shared" si="0"/>
        <v>90</v>
      </c>
      <c r="B33">
        <v>3600</v>
      </c>
      <c r="C33">
        <v>19</v>
      </c>
      <c r="D33">
        <v>9.6334000000000003E-2</v>
      </c>
      <c r="E33">
        <f t="shared" si="1"/>
        <v>6.3340000000000063E-3</v>
      </c>
      <c r="F33">
        <f t="shared" si="3"/>
        <v>2.1975813000000021E-2</v>
      </c>
      <c r="G33" s="6">
        <f t="shared" si="4"/>
        <v>2.2891471875000024E-5</v>
      </c>
      <c r="H33">
        <f t="shared" si="2"/>
        <v>2.1975813000000022</v>
      </c>
    </row>
    <row r="34" spans="1:8">
      <c r="A34">
        <f t="shared" si="0"/>
        <v>95</v>
      </c>
      <c r="B34">
        <v>3800</v>
      </c>
      <c r="C34">
        <v>20</v>
      </c>
      <c r="D34">
        <v>9.9773000000000001E-2</v>
      </c>
      <c r="E34">
        <f t="shared" si="1"/>
        <v>9.7730000000000039E-3</v>
      </c>
      <c r="F34">
        <f t="shared" si="3"/>
        <v>3.3907423500000013E-2</v>
      </c>
      <c r="G34" s="6">
        <f t="shared" si="4"/>
        <v>3.5320232812500012E-5</v>
      </c>
      <c r="H34">
        <f t="shared" si="2"/>
        <v>3.3907423500000013</v>
      </c>
    </row>
    <row r="35" spans="1:8">
      <c r="A35">
        <f t="shared" si="0"/>
        <v>100</v>
      </c>
      <c r="B35">
        <v>4000</v>
      </c>
      <c r="C35">
        <v>21</v>
      </c>
      <c r="D35">
        <v>9.5906000000000005E-2</v>
      </c>
      <c r="E35">
        <f t="shared" si="1"/>
        <v>5.9060000000000085E-3</v>
      </c>
      <c r="F35">
        <f t="shared" si="3"/>
        <v>2.0490867000000031E-2</v>
      </c>
      <c r="G35" s="6">
        <f t="shared" si="4"/>
        <v>2.1344653125000034E-5</v>
      </c>
      <c r="H35">
        <f t="shared" si="2"/>
        <v>2.0490867000000033</v>
      </c>
    </row>
    <row r="43" spans="1:8">
      <c r="D43" t="s">
        <v>4</v>
      </c>
      <c r="G43" s="2"/>
    </row>
    <row r="44" spans="1:8">
      <c r="A44" t="s">
        <v>10</v>
      </c>
      <c r="B44" t="s">
        <v>18</v>
      </c>
      <c r="C44" t="s">
        <v>17</v>
      </c>
      <c r="D44" t="s">
        <v>0</v>
      </c>
      <c r="E44" t="s">
        <v>22</v>
      </c>
      <c r="F44" t="s">
        <v>3</v>
      </c>
      <c r="G44" s="6" t="s">
        <v>16</v>
      </c>
    </row>
    <row r="45" spans="1:8">
      <c r="A45">
        <f>B45/40</f>
        <v>0</v>
      </c>
      <c r="B45">
        <v>0</v>
      </c>
      <c r="C45">
        <v>0</v>
      </c>
      <c r="D45" s="2">
        <v>65</v>
      </c>
      <c r="E45" s="2">
        <f>D45-$I$2</f>
        <v>65</v>
      </c>
      <c r="F45">
        <f>2.3246*E45</f>
        <v>151.09900000000002</v>
      </c>
      <c r="G45" s="6">
        <f>F45*100/35.5/1000</f>
        <v>0.42563098591549298</v>
      </c>
      <c r="H45">
        <f>G45*35.5*1000</f>
        <v>15109.900000000001</v>
      </c>
    </row>
    <row r="46" spans="1:8">
      <c r="A46">
        <f t="shared" ref="A46:A66" si="5">B46/40</f>
        <v>0</v>
      </c>
      <c r="B46">
        <v>0</v>
      </c>
      <c r="C46">
        <v>1</v>
      </c>
      <c r="D46">
        <v>7.8714999999999993E-2</v>
      </c>
      <c r="E46">
        <f t="shared" ref="E46:E66" si="6">D46-$I$2</f>
        <v>7.8714999999999993E-2</v>
      </c>
      <c r="F46">
        <f t="shared" ref="F46:F66" si="7">2.3246*E46</f>
        <v>0.18298088900000001</v>
      </c>
      <c r="G46" s="6">
        <f t="shared" ref="G46:G66" si="8">F46*100/35.5/1000</f>
        <v>5.15439123943662E-4</v>
      </c>
      <c r="H46">
        <f t="shared" ref="H46:H65" si="9">G46*35.5*1000</f>
        <v>18.298088900000003</v>
      </c>
    </row>
    <row r="47" spans="1:8">
      <c r="A47">
        <f t="shared" si="5"/>
        <v>5</v>
      </c>
      <c r="B47">
        <v>200</v>
      </c>
      <c r="C47">
        <v>2</v>
      </c>
      <c r="D47">
        <v>61.448096999999997</v>
      </c>
      <c r="E47">
        <f t="shared" si="6"/>
        <v>61.448096999999997</v>
      </c>
      <c r="F47">
        <f t="shared" si="7"/>
        <v>142.84224628620001</v>
      </c>
      <c r="G47" s="6">
        <f t="shared" si="8"/>
        <v>0.40237252474985918</v>
      </c>
      <c r="H47">
        <f t="shared" si="9"/>
        <v>14284.224628620001</v>
      </c>
    </row>
    <row r="48" spans="1:8">
      <c r="A48">
        <f t="shared" si="5"/>
        <v>10</v>
      </c>
      <c r="B48">
        <v>400</v>
      </c>
      <c r="C48">
        <v>3</v>
      </c>
      <c r="D48">
        <v>63.081330000000001</v>
      </c>
      <c r="E48">
        <f t="shared" si="6"/>
        <v>63.081330000000001</v>
      </c>
      <c r="F48">
        <f t="shared" si="7"/>
        <v>146.63885971800002</v>
      </c>
      <c r="G48" s="6">
        <f t="shared" si="8"/>
        <v>0.41306721047323947</v>
      </c>
      <c r="H48">
        <f t="shared" si="9"/>
        <v>14663.8859718</v>
      </c>
    </row>
    <row r="49" spans="1:8">
      <c r="A49">
        <f t="shared" si="5"/>
        <v>15</v>
      </c>
      <c r="B49">
        <v>600</v>
      </c>
      <c r="C49">
        <v>4</v>
      </c>
      <c r="D49">
        <v>65.284322000000003</v>
      </c>
      <c r="E49">
        <f t="shared" si="6"/>
        <v>65.284322000000003</v>
      </c>
      <c r="F49">
        <f t="shared" si="7"/>
        <v>151.75993492120003</v>
      </c>
      <c r="G49" s="6">
        <f t="shared" si="8"/>
        <v>0.42749277442591554</v>
      </c>
      <c r="H49">
        <f t="shared" si="9"/>
        <v>15175.993492120002</v>
      </c>
    </row>
    <row r="50" spans="1:8">
      <c r="A50">
        <f t="shared" si="5"/>
        <v>20</v>
      </c>
      <c r="B50">
        <v>800</v>
      </c>
      <c r="C50">
        <v>5</v>
      </c>
      <c r="D50">
        <v>63.093496999999999</v>
      </c>
      <c r="E50">
        <f t="shared" si="6"/>
        <v>63.093496999999999</v>
      </c>
      <c r="F50">
        <f t="shared" si="7"/>
        <v>146.66714312620002</v>
      </c>
      <c r="G50" s="6">
        <f t="shared" si="8"/>
        <v>0.41314688204563388</v>
      </c>
      <c r="H50">
        <f t="shared" si="9"/>
        <v>14666.714312620003</v>
      </c>
    </row>
    <row r="51" spans="1:8">
      <c r="A51">
        <f t="shared" si="5"/>
        <v>25</v>
      </c>
      <c r="B51">
        <v>1000</v>
      </c>
      <c r="C51">
        <v>6</v>
      </c>
      <c r="D51">
        <v>55.683024000000003</v>
      </c>
      <c r="E51">
        <f t="shared" si="6"/>
        <v>55.683024000000003</v>
      </c>
      <c r="F51">
        <f t="shared" si="7"/>
        <v>129.44075759040001</v>
      </c>
      <c r="G51" s="6">
        <f t="shared" si="8"/>
        <v>0.36462185236732397</v>
      </c>
      <c r="H51">
        <f t="shared" si="9"/>
        <v>12944.075759040001</v>
      </c>
    </row>
    <row r="52" spans="1:8">
      <c r="A52">
        <f t="shared" si="5"/>
        <v>30</v>
      </c>
      <c r="B52">
        <v>1200</v>
      </c>
      <c r="C52">
        <v>7</v>
      </c>
      <c r="D52">
        <v>65.520263</v>
      </c>
      <c r="E52">
        <f t="shared" si="6"/>
        <v>65.520263</v>
      </c>
      <c r="F52">
        <f t="shared" si="7"/>
        <v>152.3084033698</v>
      </c>
      <c r="G52" s="6">
        <f t="shared" si="8"/>
        <v>0.42903775597126759</v>
      </c>
      <c r="H52">
        <f t="shared" si="9"/>
        <v>15230.84033698</v>
      </c>
    </row>
    <row r="53" spans="1:8">
      <c r="A53">
        <f t="shared" si="5"/>
        <v>35</v>
      </c>
      <c r="B53">
        <v>1400</v>
      </c>
      <c r="C53">
        <v>8</v>
      </c>
      <c r="D53">
        <v>63.568600000000004</v>
      </c>
      <c r="E53">
        <f t="shared" si="6"/>
        <v>63.568600000000004</v>
      </c>
      <c r="F53">
        <f t="shared" si="7"/>
        <v>147.77156756000002</v>
      </c>
      <c r="G53" s="6">
        <f t="shared" si="8"/>
        <v>0.41625793678873246</v>
      </c>
      <c r="H53">
        <f t="shared" si="9"/>
        <v>14777.156756000002</v>
      </c>
    </row>
    <row r="54" spans="1:8">
      <c r="A54">
        <f t="shared" si="5"/>
        <v>40</v>
      </c>
      <c r="B54">
        <v>1600</v>
      </c>
      <c r="C54">
        <v>9</v>
      </c>
      <c r="D54">
        <v>66.142301000000003</v>
      </c>
      <c r="E54">
        <f t="shared" si="6"/>
        <v>66.142301000000003</v>
      </c>
      <c r="F54">
        <f t="shared" si="7"/>
        <v>153.75439290460002</v>
      </c>
      <c r="G54" s="6">
        <f t="shared" si="8"/>
        <v>0.43311096592845078</v>
      </c>
      <c r="H54">
        <f t="shared" si="9"/>
        <v>15375.439290460003</v>
      </c>
    </row>
    <row r="55" spans="1:8">
      <c r="A55">
        <f t="shared" si="5"/>
        <v>45</v>
      </c>
      <c r="B55">
        <v>1800</v>
      </c>
      <c r="C55">
        <v>10</v>
      </c>
      <c r="D55">
        <v>65.797835000000006</v>
      </c>
      <c r="E55">
        <f t="shared" si="6"/>
        <v>65.797835000000006</v>
      </c>
      <c r="F55">
        <f t="shared" si="7"/>
        <v>152.95364724100003</v>
      </c>
      <c r="G55" s="6">
        <f t="shared" si="8"/>
        <v>0.43085534434084521</v>
      </c>
      <c r="H55">
        <f t="shared" si="9"/>
        <v>15295.364724100005</v>
      </c>
    </row>
    <row r="56" spans="1:8">
      <c r="A56">
        <f t="shared" si="5"/>
        <v>50</v>
      </c>
      <c r="B56">
        <v>2000</v>
      </c>
      <c r="C56">
        <v>11</v>
      </c>
      <c r="D56">
        <v>65.117857000000001</v>
      </c>
      <c r="E56">
        <f t="shared" si="6"/>
        <v>65.117857000000001</v>
      </c>
      <c r="F56">
        <f t="shared" si="7"/>
        <v>151.37297038220001</v>
      </c>
      <c r="G56" s="6">
        <f t="shared" si="8"/>
        <v>0.42640273347098595</v>
      </c>
      <c r="H56">
        <f t="shared" si="9"/>
        <v>15137.297038220002</v>
      </c>
    </row>
    <row r="57" spans="1:8">
      <c r="A57">
        <f t="shared" si="5"/>
        <v>55</v>
      </c>
      <c r="B57">
        <v>2200</v>
      </c>
      <c r="C57">
        <v>12</v>
      </c>
      <c r="D57">
        <v>65.852900000000005</v>
      </c>
      <c r="E57">
        <f t="shared" si="6"/>
        <v>65.852900000000005</v>
      </c>
      <c r="F57">
        <f t="shared" si="7"/>
        <v>153.08165134000004</v>
      </c>
      <c r="G57" s="6">
        <f t="shared" si="8"/>
        <v>0.43121591926760577</v>
      </c>
      <c r="H57">
        <f t="shared" si="9"/>
        <v>15308.165134000004</v>
      </c>
    </row>
    <row r="58" spans="1:8">
      <c r="A58">
        <f t="shared" si="5"/>
        <v>60</v>
      </c>
      <c r="B58">
        <v>2400</v>
      </c>
      <c r="C58">
        <v>13</v>
      </c>
      <c r="D58">
        <v>63.092744000000003</v>
      </c>
      <c r="E58">
        <f t="shared" si="6"/>
        <v>63.092744000000003</v>
      </c>
      <c r="F58">
        <f t="shared" si="7"/>
        <v>146.66539270240003</v>
      </c>
      <c r="G58" s="6">
        <f t="shared" si="8"/>
        <v>0.41314195127436626</v>
      </c>
      <c r="H58">
        <f t="shared" si="9"/>
        <v>14666.539270240002</v>
      </c>
    </row>
    <row r="59" spans="1:8">
      <c r="A59">
        <f t="shared" si="5"/>
        <v>65</v>
      </c>
      <c r="B59">
        <v>2600</v>
      </c>
      <c r="C59">
        <v>14</v>
      </c>
      <c r="D59">
        <v>65.417388000000003</v>
      </c>
      <c r="E59">
        <f t="shared" si="6"/>
        <v>65.417388000000003</v>
      </c>
      <c r="F59">
        <f t="shared" si="7"/>
        <v>152.06926014480001</v>
      </c>
      <c r="G59" s="6">
        <f t="shared" si="8"/>
        <v>0.42836411308394368</v>
      </c>
      <c r="H59">
        <f t="shared" si="9"/>
        <v>15206.926014480001</v>
      </c>
    </row>
    <row r="60" spans="1:8">
      <c r="A60">
        <f t="shared" si="5"/>
        <v>70</v>
      </c>
      <c r="B60">
        <v>2800</v>
      </c>
      <c r="C60">
        <v>15</v>
      </c>
      <c r="D60">
        <v>66.086725000000001</v>
      </c>
      <c r="E60">
        <f t="shared" si="6"/>
        <v>66.086725000000001</v>
      </c>
      <c r="F60">
        <f t="shared" si="7"/>
        <v>153.62520093500001</v>
      </c>
      <c r="G60" s="6">
        <f t="shared" si="8"/>
        <v>0.43274704488732396</v>
      </c>
      <c r="H60">
        <f t="shared" si="9"/>
        <v>15362.520093500001</v>
      </c>
    </row>
    <row r="61" spans="1:8">
      <c r="A61">
        <f t="shared" si="5"/>
        <v>75</v>
      </c>
      <c r="B61">
        <v>3000</v>
      </c>
      <c r="C61">
        <v>16</v>
      </c>
      <c r="D61">
        <v>66.383399999999995</v>
      </c>
      <c r="E61">
        <f t="shared" si="6"/>
        <v>66.383399999999995</v>
      </c>
      <c r="F61">
        <f t="shared" si="7"/>
        <v>154.31485164</v>
      </c>
      <c r="G61" s="6">
        <f t="shared" si="8"/>
        <v>0.43468972292957742</v>
      </c>
      <c r="H61">
        <f t="shared" si="9"/>
        <v>15431.485163999998</v>
      </c>
    </row>
    <row r="62" spans="1:8">
      <c r="A62">
        <f t="shared" si="5"/>
        <v>80</v>
      </c>
      <c r="B62">
        <v>3200</v>
      </c>
      <c r="C62">
        <v>17</v>
      </c>
      <c r="D62">
        <v>67.241732999999996</v>
      </c>
      <c r="E62">
        <f t="shared" si="6"/>
        <v>67.241732999999996</v>
      </c>
      <c r="F62">
        <f t="shared" si="7"/>
        <v>156.31013253180001</v>
      </c>
      <c r="G62" s="6">
        <f t="shared" si="8"/>
        <v>0.44031023248394369</v>
      </c>
      <c r="H62">
        <f t="shared" si="9"/>
        <v>15631.013253180001</v>
      </c>
    </row>
    <row r="63" spans="1:8">
      <c r="A63">
        <f t="shared" si="5"/>
        <v>85</v>
      </c>
      <c r="B63">
        <v>3400</v>
      </c>
      <c r="C63">
        <v>18</v>
      </c>
      <c r="D63">
        <v>65.417670999999999</v>
      </c>
      <c r="E63">
        <f t="shared" si="6"/>
        <v>65.417670999999999</v>
      </c>
      <c r="F63">
        <f t="shared" si="7"/>
        <v>152.06991800660001</v>
      </c>
      <c r="G63" s="6">
        <f t="shared" si="8"/>
        <v>0.42836596621577466</v>
      </c>
      <c r="H63">
        <f t="shared" si="9"/>
        <v>15206.99180066</v>
      </c>
    </row>
    <row r="64" spans="1:8">
      <c r="A64">
        <f t="shared" si="5"/>
        <v>90</v>
      </c>
      <c r="B64">
        <v>3600</v>
      </c>
      <c r="C64">
        <v>19</v>
      </c>
      <c r="D64">
        <v>63.404651999999999</v>
      </c>
      <c r="E64">
        <f t="shared" si="6"/>
        <v>63.404651999999999</v>
      </c>
      <c r="F64">
        <f t="shared" si="7"/>
        <v>147.39045403920002</v>
      </c>
      <c r="G64" s="6">
        <f t="shared" si="8"/>
        <v>0.41518437757521132</v>
      </c>
      <c r="H64">
        <f t="shared" si="9"/>
        <v>14739.045403920003</v>
      </c>
    </row>
    <row r="65" spans="1:8">
      <c r="A65">
        <f t="shared" si="5"/>
        <v>95</v>
      </c>
      <c r="B65">
        <v>3800</v>
      </c>
      <c r="C65">
        <v>20</v>
      </c>
      <c r="D65">
        <v>65.009809000000004</v>
      </c>
      <c r="E65">
        <f t="shared" si="6"/>
        <v>65.009809000000004</v>
      </c>
      <c r="F65">
        <f t="shared" si="7"/>
        <v>151.12180200140003</v>
      </c>
      <c r="G65" s="6">
        <f t="shared" si="8"/>
        <v>0.42569521690535217</v>
      </c>
      <c r="H65">
        <f t="shared" si="9"/>
        <v>15112.180200140003</v>
      </c>
    </row>
    <row r="66" spans="1:8">
      <c r="A66">
        <f t="shared" si="5"/>
        <v>100</v>
      </c>
      <c r="B66">
        <v>4000</v>
      </c>
      <c r="C66">
        <v>21</v>
      </c>
      <c r="D66">
        <v>69.888396</v>
      </c>
      <c r="E66">
        <f t="shared" si="6"/>
        <v>69.888396</v>
      </c>
      <c r="F66">
        <f t="shared" si="7"/>
        <v>162.46256534160003</v>
      </c>
      <c r="G66" s="6">
        <f t="shared" si="8"/>
        <v>0.45764102913126764</v>
      </c>
      <c r="H66">
        <f>G66*35.5*1000</f>
        <v>16246.25653416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E75B-8A21-4C82-8AB9-4EC4919A5F0D}">
  <dimension ref="A1:L66"/>
  <sheetViews>
    <sheetView workbookViewId="0"/>
  </sheetViews>
  <sheetFormatPr defaultRowHeight="14.5"/>
  <cols>
    <col min="4" max="4" width="18.90625" customWidth="1"/>
    <col min="5" max="5" width="15.7265625" customWidth="1"/>
    <col min="6" max="6" width="17.36328125" style="6" customWidth="1"/>
    <col min="7" max="7" width="13.453125" customWidth="1"/>
    <col min="8" max="8" width="9.81640625" customWidth="1"/>
    <col min="9" max="9" width="17.453125" customWidth="1"/>
    <col min="12" max="12" width="15.453125" customWidth="1"/>
  </cols>
  <sheetData>
    <row r="1" spans="1:10">
      <c r="A1" t="s">
        <v>31</v>
      </c>
      <c r="H1" t="s">
        <v>20</v>
      </c>
      <c r="I1" t="s">
        <v>21</v>
      </c>
    </row>
    <row r="2" spans="1:10">
      <c r="A2" t="s">
        <v>5</v>
      </c>
      <c r="B2" t="s">
        <v>0</v>
      </c>
      <c r="C2" t="s">
        <v>1</v>
      </c>
      <c r="D2" s="6"/>
      <c r="E2" t="s">
        <v>4</v>
      </c>
      <c r="F2" t="s">
        <v>0</v>
      </c>
      <c r="G2" t="s">
        <v>1</v>
      </c>
      <c r="H2">
        <v>0.09</v>
      </c>
      <c r="I2">
        <v>0</v>
      </c>
    </row>
    <row r="3" spans="1:10">
      <c r="B3" s="4">
        <v>0</v>
      </c>
      <c r="C3">
        <v>0</v>
      </c>
      <c r="D3" s="6"/>
      <c r="F3" s="4">
        <v>0</v>
      </c>
      <c r="G3">
        <v>0</v>
      </c>
    </row>
    <row r="4" spans="1:10">
      <c r="B4" s="4">
        <v>1.420315</v>
      </c>
      <c r="C4">
        <v>5</v>
      </c>
      <c r="D4" s="6"/>
      <c r="F4" s="3">
        <v>0.34081400000000001</v>
      </c>
      <c r="G4">
        <v>1</v>
      </c>
    </row>
    <row r="5" spans="1:10">
      <c r="B5" s="4">
        <v>2.8556680000000001</v>
      </c>
      <c r="C5">
        <v>10</v>
      </c>
      <c r="D5" s="6"/>
      <c r="F5" s="3">
        <v>1.8571869999999999</v>
      </c>
      <c r="G5">
        <v>5</v>
      </c>
    </row>
    <row r="6" spans="1:10">
      <c r="B6" s="4">
        <v>4.343998</v>
      </c>
      <c r="C6">
        <v>15</v>
      </c>
      <c r="D6" s="6"/>
      <c r="F6" s="3">
        <v>3.9211369999999999</v>
      </c>
      <c r="G6">
        <v>10</v>
      </c>
    </row>
    <row r="7" spans="1:10">
      <c r="B7" s="4">
        <v>7.207986</v>
      </c>
      <c r="C7">
        <v>25</v>
      </c>
      <c r="D7" s="6"/>
      <c r="F7" s="3">
        <v>8.2513480000000001</v>
      </c>
      <c r="G7">
        <v>20</v>
      </c>
    </row>
    <row r="8" spans="1:10">
      <c r="B8" s="3"/>
      <c r="D8" s="6"/>
      <c r="F8" s="3">
        <v>43.134417999999997</v>
      </c>
      <c r="G8">
        <v>100</v>
      </c>
    </row>
    <row r="12" spans="1:10">
      <c r="D12" t="s">
        <v>5</v>
      </c>
    </row>
    <row r="13" spans="1:10">
      <c r="A13" t="s">
        <v>10</v>
      </c>
      <c r="B13" t="s">
        <v>18</v>
      </c>
      <c r="C13" t="s">
        <v>17</v>
      </c>
      <c r="D13" t="s">
        <v>0</v>
      </c>
      <c r="E13" t="s">
        <v>22</v>
      </c>
      <c r="F13" t="s">
        <v>3</v>
      </c>
      <c r="G13" s="6" t="s">
        <v>16</v>
      </c>
      <c r="H13" s="1" t="s">
        <v>13</v>
      </c>
      <c r="J13" s="2"/>
    </row>
    <row r="14" spans="1:10">
      <c r="A14">
        <f>B14/40</f>
        <v>0</v>
      </c>
      <c r="B14">
        <v>0</v>
      </c>
      <c r="C14">
        <v>0</v>
      </c>
      <c r="D14">
        <v>0</v>
      </c>
      <c r="E14">
        <f t="shared" ref="E14:E35" si="0">D14-$H$2</f>
        <v>-0.09</v>
      </c>
      <c r="F14">
        <f>0*E14</f>
        <v>0</v>
      </c>
      <c r="G14" s="6">
        <f>F14*20/96/1000</f>
        <v>0</v>
      </c>
      <c r="H14">
        <f>G14*96*1000</f>
        <v>0</v>
      </c>
    </row>
    <row r="15" spans="1:10">
      <c r="A15">
        <f t="shared" ref="A15:A35" si="1">B15/40</f>
        <v>0</v>
      </c>
      <c r="B15">
        <v>0</v>
      </c>
      <c r="C15">
        <v>1</v>
      </c>
      <c r="D15">
        <v>61.470064000000001</v>
      </c>
      <c r="E15">
        <f t="shared" si="0"/>
        <v>61.380063999999997</v>
      </c>
      <c r="F15">
        <f>3.4695*E15</f>
        <v>212.95813204799998</v>
      </c>
      <c r="G15" s="6">
        <f>F15*100/96/1000</f>
        <v>0.22183138754999995</v>
      </c>
      <c r="H15">
        <f t="shared" ref="H15:H35" si="2">G15*96*1000</f>
        <v>21295.813204799993</v>
      </c>
    </row>
    <row r="16" spans="1:10">
      <c r="A16">
        <f t="shared" si="1"/>
        <v>5</v>
      </c>
      <c r="B16">
        <v>200</v>
      </c>
      <c r="C16">
        <v>2</v>
      </c>
      <c r="D16">
        <v>1.400801</v>
      </c>
      <c r="E16">
        <f t="shared" si="0"/>
        <v>1.3108009999999999</v>
      </c>
      <c r="F16">
        <f t="shared" ref="F16:F35" si="3">3.4695*E16</f>
        <v>4.5478240694999998</v>
      </c>
      <c r="G16" s="6">
        <f t="shared" ref="G16:G35" si="4">F16*100/96/1000</f>
        <v>4.7373167390624997E-3</v>
      </c>
      <c r="H16">
        <f t="shared" si="2"/>
        <v>454.78240694999994</v>
      </c>
    </row>
    <row r="17" spans="1:9">
      <c r="A17">
        <f t="shared" si="1"/>
        <v>10</v>
      </c>
      <c r="B17">
        <v>400</v>
      </c>
      <c r="C17">
        <v>3</v>
      </c>
      <c r="D17">
        <v>0.124295</v>
      </c>
      <c r="E17">
        <f t="shared" si="0"/>
        <v>3.4295000000000006E-2</v>
      </c>
      <c r="F17">
        <f t="shared" si="3"/>
        <v>0.11898650250000002</v>
      </c>
      <c r="G17" s="6">
        <f t="shared" si="4"/>
        <v>1.2394427343750004E-4</v>
      </c>
      <c r="H17">
        <f t="shared" si="2"/>
        <v>11.898650250000003</v>
      </c>
    </row>
    <row r="18" spans="1:9">
      <c r="A18">
        <f t="shared" si="1"/>
        <v>15</v>
      </c>
      <c r="B18">
        <v>600</v>
      </c>
      <c r="C18">
        <v>4</v>
      </c>
      <c r="D18">
        <v>0.10022</v>
      </c>
      <c r="E18">
        <f t="shared" si="0"/>
        <v>1.0220000000000007E-2</v>
      </c>
      <c r="F18">
        <f t="shared" si="3"/>
        <v>3.5458290000000024E-2</v>
      </c>
      <c r="G18" s="6">
        <f t="shared" si="4"/>
        <v>3.6935718750000026E-5</v>
      </c>
      <c r="H18">
        <f t="shared" si="2"/>
        <v>3.5458290000000026</v>
      </c>
    </row>
    <row r="19" spans="1:9">
      <c r="A19">
        <f t="shared" si="1"/>
        <v>20</v>
      </c>
      <c r="B19">
        <v>800</v>
      </c>
      <c r="C19">
        <v>5</v>
      </c>
      <c r="D19">
        <v>9.9599999999999994E-2</v>
      </c>
      <c r="E19">
        <f t="shared" si="0"/>
        <v>9.5999999999999974E-3</v>
      </c>
      <c r="F19">
        <f t="shared" si="3"/>
        <v>3.3307199999999988E-2</v>
      </c>
      <c r="G19" s="6">
        <f t="shared" si="4"/>
        <v>3.4694999999999992E-5</v>
      </c>
      <c r="H19">
        <f t="shared" si="2"/>
        <v>3.3307199999999995</v>
      </c>
    </row>
    <row r="20" spans="1:9">
      <c r="A20">
        <f t="shared" si="1"/>
        <v>25</v>
      </c>
      <c r="B20">
        <v>1000</v>
      </c>
      <c r="C20">
        <v>6</v>
      </c>
      <c r="D20">
        <v>9.7268999999999994E-2</v>
      </c>
      <c r="E20">
        <f t="shared" si="0"/>
        <v>7.2689999999999977E-3</v>
      </c>
      <c r="F20">
        <f t="shared" si="3"/>
        <v>2.5219795499999993E-2</v>
      </c>
      <c r="G20" s="6">
        <f t="shared" si="4"/>
        <v>2.6270620312499992E-5</v>
      </c>
      <c r="H20">
        <f t="shared" si="2"/>
        <v>2.5219795499999993</v>
      </c>
    </row>
    <row r="21" spans="1:9">
      <c r="A21">
        <f t="shared" si="1"/>
        <v>30</v>
      </c>
      <c r="B21">
        <v>1200</v>
      </c>
      <c r="C21">
        <v>7</v>
      </c>
      <c r="D21">
        <v>9.5487000000000002E-2</v>
      </c>
      <c r="E21">
        <f t="shared" si="0"/>
        <v>5.4870000000000058E-3</v>
      </c>
      <c r="F21">
        <f t="shared" si="3"/>
        <v>1.9037146500000022E-2</v>
      </c>
      <c r="G21" s="6">
        <f t="shared" si="4"/>
        <v>1.9830360937500023E-5</v>
      </c>
      <c r="H21">
        <f t="shared" si="2"/>
        <v>1.9037146500000022</v>
      </c>
    </row>
    <row r="22" spans="1:9">
      <c r="A22">
        <f t="shared" si="1"/>
        <v>35</v>
      </c>
      <c r="B22">
        <v>1400</v>
      </c>
      <c r="C22">
        <v>8</v>
      </c>
      <c r="D22">
        <v>9.5209000000000002E-2</v>
      </c>
      <c r="E22">
        <f t="shared" si="0"/>
        <v>5.2090000000000053E-3</v>
      </c>
      <c r="F22">
        <f t="shared" si="3"/>
        <v>1.8072625500000019E-2</v>
      </c>
      <c r="G22" s="6">
        <f t="shared" si="4"/>
        <v>1.8825651562500022E-5</v>
      </c>
      <c r="H22">
        <f t="shared" si="2"/>
        <v>1.8072625500000021</v>
      </c>
    </row>
    <row r="23" spans="1:9">
      <c r="A23">
        <f t="shared" si="1"/>
        <v>40</v>
      </c>
      <c r="B23">
        <v>1600</v>
      </c>
      <c r="C23">
        <v>9</v>
      </c>
      <c r="D23">
        <v>0.100275</v>
      </c>
      <c r="E23">
        <f t="shared" si="0"/>
        <v>1.0275000000000006E-2</v>
      </c>
      <c r="F23">
        <f t="shared" si="3"/>
        <v>3.5649112500000024E-2</v>
      </c>
      <c r="G23" s="6">
        <f t="shared" si="4"/>
        <v>3.7134492187500026E-5</v>
      </c>
      <c r="H23">
        <f t="shared" si="2"/>
        <v>3.5649112500000024</v>
      </c>
    </row>
    <row r="24" spans="1:9">
      <c r="A24">
        <f t="shared" si="1"/>
        <v>45</v>
      </c>
      <c r="B24">
        <v>1800</v>
      </c>
      <c r="C24">
        <v>10</v>
      </c>
      <c r="D24">
        <v>0.10163800000000001</v>
      </c>
      <c r="E24">
        <f t="shared" si="0"/>
        <v>1.1638000000000009E-2</v>
      </c>
      <c r="F24">
        <f t="shared" si="3"/>
        <v>4.0378041000000031E-2</v>
      </c>
      <c r="G24" s="6">
        <f t="shared" si="4"/>
        <v>4.2060459375000035E-5</v>
      </c>
      <c r="H24">
        <f t="shared" si="2"/>
        <v>4.0378041000000042</v>
      </c>
    </row>
    <row r="25" spans="1:9">
      <c r="A25">
        <f t="shared" si="1"/>
        <v>50</v>
      </c>
      <c r="B25">
        <v>2000</v>
      </c>
      <c r="C25">
        <v>11</v>
      </c>
      <c r="D25">
        <v>9.6480999999999997E-2</v>
      </c>
      <c r="E25">
        <f t="shared" si="0"/>
        <v>6.4810000000000006E-3</v>
      </c>
      <c r="F25">
        <f t="shared" si="3"/>
        <v>2.2485829500000002E-2</v>
      </c>
      <c r="G25" s="6">
        <f t="shared" si="4"/>
        <v>2.3422739062500002E-5</v>
      </c>
      <c r="H25">
        <f t="shared" si="2"/>
        <v>2.2485829500000003</v>
      </c>
    </row>
    <row r="26" spans="1:9">
      <c r="A26">
        <f t="shared" si="1"/>
        <v>55</v>
      </c>
      <c r="B26">
        <v>2200</v>
      </c>
      <c r="C26">
        <v>12</v>
      </c>
      <c r="D26">
        <v>0.14022200000000001</v>
      </c>
      <c r="E26">
        <f t="shared" si="0"/>
        <v>5.0222000000000017E-2</v>
      </c>
      <c r="F26">
        <f t="shared" si="3"/>
        <v>0.17424522900000006</v>
      </c>
      <c r="G26" s="6">
        <f t="shared" si="4"/>
        <v>1.8150544687500005E-4</v>
      </c>
      <c r="H26">
        <f t="shared" si="2"/>
        <v>17.424522900000003</v>
      </c>
      <c r="I26" s="2"/>
    </row>
    <row r="27" spans="1:9">
      <c r="A27">
        <f t="shared" si="1"/>
        <v>60</v>
      </c>
      <c r="B27">
        <v>2400</v>
      </c>
      <c r="C27">
        <v>13</v>
      </c>
      <c r="D27">
        <v>9.6717999999999998E-2</v>
      </c>
      <c r="E27">
        <f t="shared" si="0"/>
        <v>6.7180000000000017E-3</v>
      </c>
      <c r="F27">
        <f t="shared" si="3"/>
        <v>2.3308101000000005E-2</v>
      </c>
      <c r="G27" s="6">
        <f t="shared" si="4"/>
        <v>2.4279271875000004E-5</v>
      </c>
      <c r="H27">
        <f t="shared" si="2"/>
        <v>2.3308101000000003</v>
      </c>
      <c r="I27" s="2"/>
    </row>
    <row r="28" spans="1:9">
      <c r="A28">
        <f t="shared" si="1"/>
        <v>65</v>
      </c>
      <c r="B28">
        <v>2600</v>
      </c>
      <c r="C28">
        <v>14</v>
      </c>
      <c r="D28">
        <v>9.8295999999999994E-2</v>
      </c>
      <c r="E28">
        <f t="shared" si="0"/>
        <v>8.2959999999999978E-3</v>
      </c>
      <c r="F28">
        <f t="shared" si="3"/>
        <v>2.8782971999999993E-2</v>
      </c>
      <c r="G28" s="6">
        <f t="shared" si="4"/>
        <v>2.9982262499999997E-5</v>
      </c>
      <c r="H28">
        <f t="shared" si="2"/>
        <v>2.8782972</v>
      </c>
    </row>
    <row r="29" spans="1:9">
      <c r="A29">
        <f t="shared" si="1"/>
        <v>70</v>
      </c>
      <c r="B29">
        <v>2800</v>
      </c>
      <c r="C29">
        <v>15</v>
      </c>
      <c r="D29">
        <v>9.9114999999999995E-2</v>
      </c>
      <c r="E29">
        <f t="shared" si="0"/>
        <v>9.1149999999999981E-3</v>
      </c>
      <c r="F29">
        <f t="shared" si="3"/>
        <v>3.1624492499999997E-2</v>
      </c>
      <c r="G29" s="6">
        <f t="shared" si="4"/>
        <v>3.2942179687499998E-5</v>
      </c>
      <c r="H29">
        <f t="shared" si="2"/>
        <v>3.1624492499999999</v>
      </c>
    </row>
    <row r="30" spans="1:9">
      <c r="A30">
        <f t="shared" si="1"/>
        <v>75</v>
      </c>
      <c r="B30">
        <v>3000</v>
      </c>
      <c r="C30">
        <v>16</v>
      </c>
      <c r="D30">
        <v>0.114006</v>
      </c>
      <c r="E30">
        <f t="shared" si="0"/>
        <v>2.4006E-2</v>
      </c>
      <c r="F30">
        <f t="shared" si="3"/>
        <v>8.3288817000000001E-2</v>
      </c>
      <c r="G30" s="6">
        <f t="shared" si="4"/>
        <v>8.6759184375000009E-5</v>
      </c>
      <c r="H30">
        <f t="shared" si="2"/>
        <v>8.3288817000000002</v>
      </c>
    </row>
    <row r="31" spans="1:9">
      <c r="A31">
        <f t="shared" si="1"/>
        <v>80</v>
      </c>
      <c r="B31">
        <v>3200</v>
      </c>
      <c r="C31">
        <v>17</v>
      </c>
      <c r="D31">
        <v>0.10250099999999999</v>
      </c>
      <c r="E31">
        <f t="shared" si="0"/>
        <v>1.2500999999999998E-2</v>
      </c>
      <c r="F31">
        <f t="shared" si="3"/>
        <v>4.3372219499999996E-2</v>
      </c>
      <c r="G31" s="6">
        <f t="shared" si="4"/>
        <v>4.5179395312500002E-5</v>
      </c>
      <c r="H31">
        <f t="shared" si="2"/>
        <v>4.33722195</v>
      </c>
    </row>
    <row r="32" spans="1:9">
      <c r="A32">
        <f t="shared" si="1"/>
        <v>85</v>
      </c>
      <c r="B32">
        <v>3400</v>
      </c>
      <c r="C32">
        <v>18</v>
      </c>
      <c r="D32">
        <v>0.10143199999999999</v>
      </c>
      <c r="E32">
        <f t="shared" si="0"/>
        <v>1.1431999999999998E-2</v>
      </c>
      <c r="F32">
        <f t="shared" si="3"/>
        <v>3.9663323999999993E-2</v>
      </c>
      <c r="G32" s="6">
        <f t="shared" si="4"/>
        <v>4.1315962499999989E-5</v>
      </c>
      <c r="H32">
        <f t="shared" si="2"/>
        <v>3.9663323999999989</v>
      </c>
    </row>
    <row r="33" spans="1:8">
      <c r="A33">
        <f t="shared" si="1"/>
        <v>90</v>
      </c>
      <c r="B33">
        <v>3600</v>
      </c>
      <c r="C33">
        <v>19</v>
      </c>
      <c r="D33">
        <v>0.102282</v>
      </c>
      <c r="E33">
        <f t="shared" si="0"/>
        <v>1.2282000000000001E-2</v>
      </c>
      <c r="F33">
        <f t="shared" si="3"/>
        <v>4.2612399000000002E-2</v>
      </c>
      <c r="G33" s="6">
        <f t="shared" si="4"/>
        <v>4.4387915625000001E-5</v>
      </c>
      <c r="H33">
        <f t="shared" si="2"/>
        <v>4.2612398999999996</v>
      </c>
    </row>
    <row r="34" spans="1:8">
      <c r="A34">
        <f t="shared" si="1"/>
        <v>95</v>
      </c>
      <c r="B34">
        <v>3800</v>
      </c>
      <c r="C34">
        <v>20</v>
      </c>
      <c r="D34">
        <v>0.10890900000000001</v>
      </c>
      <c r="E34">
        <f t="shared" si="0"/>
        <v>1.8909000000000009E-2</v>
      </c>
      <c r="F34">
        <f t="shared" si="3"/>
        <v>6.5604775500000032E-2</v>
      </c>
      <c r="G34" s="6">
        <f t="shared" si="4"/>
        <v>6.8338307812500039E-5</v>
      </c>
      <c r="H34">
        <f t="shared" si="2"/>
        <v>6.5604775500000043</v>
      </c>
    </row>
    <row r="35" spans="1:8">
      <c r="A35">
        <f t="shared" si="1"/>
        <v>100</v>
      </c>
      <c r="B35">
        <v>4000</v>
      </c>
      <c r="C35">
        <v>21</v>
      </c>
      <c r="D35">
        <v>0.106922</v>
      </c>
      <c r="E35">
        <f t="shared" si="0"/>
        <v>1.6922000000000006E-2</v>
      </c>
      <c r="F35">
        <f t="shared" si="3"/>
        <v>5.8710879000000021E-2</v>
      </c>
      <c r="G35" s="6">
        <f t="shared" si="4"/>
        <v>6.1157165625000013E-5</v>
      </c>
      <c r="H35">
        <f t="shared" si="2"/>
        <v>5.8710879000000009</v>
      </c>
    </row>
    <row r="43" spans="1:8">
      <c r="D43" t="s">
        <v>4</v>
      </c>
      <c r="G43" s="2"/>
    </row>
    <row r="44" spans="1:8">
      <c r="A44" t="s">
        <v>10</v>
      </c>
      <c r="B44" t="s">
        <v>18</v>
      </c>
      <c r="C44" t="s">
        <v>17</v>
      </c>
      <c r="D44" t="s">
        <v>0</v>
      </c>
      <c r="E44" t="s">
        <v>22</v>
      </c>
      <c r="F44" t="s">
        <v>3</v>
      </c>
      <c r="G44" s="6" t="s">
        <v>16</v>
      </c>
    </row>
    <row r="45" spans="1:8">
      <c r="A45">
        <f>B45/40</f>
        <v>0</v>
      </c>
      <c r="B45">
        <v>0</v>
      </c>
      <c r="C45">
        <v>0</v>
      </c>
      <c r="D45">
        <v>59.739792000000001</v>
      </c>
      <c r="E45">
        <f>D45-$I$2</f>
        <v>59.739792000000001</v>
      </c>
      <c r="F45">
        <f>2.3246*E45</f>
        <v>138.87112048320003</v>
      </c>
      <c r="G45" s="6">
        <f>F45*100/35.5/1000</f>
        <v>0.39118625488225361</v>
      </c>
      <c r="H45">
        <f>G45*35.5*1000</f>
        <v>13887.112048320005</v>
      </c>
    </row>
    <row r="46" spans="1:8">
      <c r="A46">
        <f t="shared" ref="A46:A66" si="5">B46/40</f>
        <v>0</v>
      </c>
      <c r="B46">
        <v>0</v>
      </c>
      <c r="C46">
        <v>1</v>
      </c>
      <c r="D46">
        <v>0.278005</v>
      </c>
      <c r="E46">
        <f t="shared" ref="E46:E66" si="6">D46-$I$2</f>
        <v>0.278005</v>
      </c>
      <c r="F46">
        <f t="shared" ref="F46:F66" si="7">2.3246*E46</f>
        <v>0.64625042300000002</v>
      </c>
      <c r="G46" s="6">
        <f t="shared" ref="G46:G66" si="8">F46*100/35.5/1000</f>
        <v>1.8204237267605635E-3</v>
      </c>
      <c r="H46">
        <f t="shared" ref="H46:H66" si="9">G46*35.5*1000</f>
        <v>64.625042300000004</v>
      </c>
    </row>
    <row r="47" spans="1:8">
      <c r="A47">
        <f t="shared" si="5"/>
        <v>5</v>
      </c>
      <c r="B47">
        <v>200</v>
      </c>
      <c r="C47">
        <v>2</v>
      </c>
      <c r="D47">
        <v>58.629165</v>
      </c>
      <c r="E47">
        <f t="shared" si="6"/>
        <v>58.629165</v>
      </c>
      <c r="F47">
        <f t="shared" si="7"/>
        <v>136.289356959</v>
      </c>
      <c r="G47" s="6">
        <f t="shared" si="8"/>
        <v>0.38391368157464784</v>
      </c>
      <c r="H47">
        <f t="shared" si="9"/>
        <v>13628.935695899998</v>
      </c>
    </row>
    <row r="48" spans="1:8">
      <c r="A48">
        <f t="shared" si="5"/>
        <v>10</v>
      </c>
      <c r="B48">
        <v>400</v>
      </c>
      <c r="C48">
        <v>3</v>
      </c>
      <c r="D48">
        <v>60.923507000000001</v>
      </c>
      <c r="E48">
        <f t="shared" si="6"/>
        <v>60.923507000000001</v>
      </c>
      <c r="F48">
        <f t="shared" si="7"/>
        <v>141.62278437220002</v>
      </c>
      <c r="G48" s="6">
        <f t="shared" si="8"/>
        <v>0.39893742076676064</v>
      </c>
      <c r="H48">
        <f t="shared" si="9"/>
        <v>14162.278437220002</v>
      </c>
    </row>
    <row r="49" spans="1:12">
      <c r="A49">
        <f t="shared" si="5"/>
        <v>15</v>
      </c>
      <c r="B49">
        <v>600</v>
      </c>
      <c r="C49">
        <v>4</v>
      </c>
      <c r="D49">
        <v>59.394841</v>
      </c>
      <c r="E49">
        <f t="shared" si="6"/>
        <v>59.394841</v>
      </c>
      <c r="F49">
        <f t="shared" si="7"/>
        <v>138.06924738860002</v>
      </c>
      <c r="G49" s="6">
        <f t="shared" si="8"/>
        <v>0.38892745743267609</v>
      </c>
      <c r="H49">
        <f t="shared" si="9"/>
        <v>13806.924738860002</v>
      </c>
    </row>
    <row r="50" spans="1:12">
      <c r="A50">
        <f t="shared" si="5"/>
        <v>20</v>
      </c>
      <c r="B50">
        <v>800</v>
      </c>
      <c r="C50">
        <v>5</v>
      </c>
      <c r="D50">
        <v>53.968234000000002</v>
      </c>
      <c r="E50">
        <f t="shared" si="6"/>
        <v>53.968234000000002</v>
      </c>
      <c r="F50">
        <f t="shared" si="7"/>
        <v>125.45455675640002</v>
      </c>
      <c r="G50" s="6">
        <f t="shared" si="8"/>
        <v>0.35339311762366205</v>
      </c>
      <c r="H50">
        <f t="shared" si="9"/>
        <v>12545.455675640003</v>
      </c>
    </row>
    <row r="51" spans="1:12">
      <c r="A51">
        <f t="shared" si="5"/>
        <v>25</v>
      </c>
      <c r="B51">
        <v>1000</v>
      </c>
      <c r="C51">
        <v>6</v>
      </c>
      <c r="D51">
        <v>61.173676999999998</v>
      </c>
      <c r="E51">
        <f t="shared" si="6"/>
        <v>61.173676999999998</v>
      </c>
      <c r="F51">
        <f t="shared" si="7"/>
        <v>142.2043295542</v>
      </c>
      <c r="G51" s="6">
        <f t="shared" si="8"/>
        <v>0.40057557620901407</v>
      </c>
      <c r="H51">
        <f t="shared" si="9"/>
        <v>14220.432955419999</v>
      </c>
    </row>
    <row r="52" spans="1:12">
      <c r="A52">
        <f t="shared" si="5"/>
        <v>30</v>
      </c>
      <c r="B52">
        <v>1200</v>
      </c>
      <c r="C52">
        <v>7</v>
      </c>
      <c r="D52">
        <v>61.126744000000002</v>
      </c>
      <c r="E52">
        <f t="shared" si="6"/>
        <v>61.126744000000002</v>
      </c>
      <c r="F52">
        <f t="shared" si="7"/>
        <v>142.09522910240003</v>
      </c>
      <c r="G52" s="6">
        <f t="shared" si="8"/>
        <v>0.40026825099267616</v>
      </c>
      <c r="H52">
        <f t="shared" si="9"/>
        <v>14209.522910240004</v>
      </c>
    </row>
    <row r="53" spans="1:12">
      <c r="A53">
        <f t="shared" si="5"/>
        <v>35</v>
      </c>
      <c r="B53">
        <v>1400</v>
      </c>
      <c r="C53">
        <v>8</v>
      </c>
      <c r="D53">
        <v>60.866701999999997</v>
      </c>
      <c r="E53">
        <f t="shared" si="6"/>
        <v>60.866701999999997</v>
      </c>
      <c r="F53">
        <f t="shared" si="7"/>
        <v>141.49073546920002</v>
      </c>
      <c r="G53" s="6">
        <f t="shared" si="8"/>
        <v>0.39856545202591559</v>
      </c>
      <c r="H53">
        <f t="shared" si="9"/>
        <v>14149.073546920004</v>
      </c>
    </row>
    <row r="54" spans="1:12">
      <c r="A54">
        <f t="shared" si="5"/>
        <v>40</v>
      </c>
      <c r="B54">
        <v>1600</v>
      </c>
      <c r="C54">
        <v>9</v>
      </c>
      <c r="D54">
        <v>60.856907</v>
      </c>
      <c r="E54">
        <f t="shared" si="6"/>
        <v>60.856907</v>
      </c>
      <c r="F54">
        <f t="shared" si="7"/>
        <v>141.46796601220001</v>
      </c>
      <c r="G54" s="6">
        <f t="shared" si="8"/>
        <v>0.39850131271042255</v>
      </c>
      <c r="H54">
        <f t="shared" si="9"/>
        <v>14146.79660122</v>
      </c>
    </row>
    <row r="55" spans="1:12">
      <c r="A55">
        <f t="shared" si="5"/>
        <v>45</v>
      </c>
      <c r="B55">
        <v>1800</v>
      </c>
      <c r="C55">
        <v>10</v>
      </c>
      <c r="D55">
        <v>54.526541000000002</v>
      </c>
      <c r="E55">
        <f t="shared" si="6"/>
        <v>54.526541000000002</v>
      </c>
      <c r="F55">
        <f t="shared" si="7"/>
        <v>126.75239720860002</v>
      </c>
      <c r="G55" s="6">
        <f t="shared" si="8"/>
        <v>0.3570490062214085</v>
      </c>
      <c r="H55">
        <f t="shared" si="9"/>
        <v>12675.239720860001</v>
      </c>
    </row>
    <row r="56" spans="1:12">
      <c r="A56">
        <f t="shared" si="5"/>
        <v>50</v>
      </c>
      <c r="B56">
        <v>2000</v>
      </c>
      <c r="C56">
        <v>11</v>
      </c>
      <c r="D56">
        <v>60.696835999999998</v>
      </c>
      <c r="E56">
        <f t="shared" si="6"/>
        <v>60.696835999999998</v>
      </c>
      <c r="F56">
        <f t="shared" si="7"/>
        <v>141.09586496560001</v>
      </c>
      <c r="G56" s="6">
        <f t="shared" si="8"/>
        <v>0.39745314074816906</v>
      </c>
      <c r="H56">
        <f t="shared" si="9"/>
        <v>14109.586496560003</v>
      </c>
    </row>
    <row r="57" spans="1:12">
      <c r="A57">
        <f t="shared" si="5"/>
        <v>55</v>
      </c>
      <c r="B57">
        <v>2200</v>
      </c>
      <c r="C57">
        <v>12</v>
      </c>
      <c r="D57">
        <v>61.093846999999997</v>
      </c>
      <c r="E57">
        <f t="shared" si="6"/>
        <v>61.093846999999997</v>
      </c>
      <c r="F57">
        <f t="shared" si="7"/>
        <v>142.0187567362</v>
      </c>
      <c r="G57" s="6">
        <f t="shared" si="8"/>
        <v>0.40005283587661972</v>
      </c>
      <c r="H57">
        <f t="shared" si="9"/>
        <v>14201.875673619999</v>
      </c>
    </row>
    <row r="58" spans="1:12">
      <c r="A58">
        <f t="shared" si="5"/>
        <v>60</v>
      </c>
      <c r="B58">
        <v>2400</v>
      </c>
      <c r="C58">
        <v>13</v>
      </c>
      <c r="D58">
        <v>61.079225000000001</v>
      </c>
      <c r="E58">
        <f t="shared" si="6"/>
        <v>61.079225000000001</v>
      </c>
      <c r="F58">
        <f t="shared" si="7"/>
        <v>141.98476643500001</v>
      </c>
      <c r="G58" s="6">
        <f t="shared" si="8"/>
        <v>0.39995708854929579</v>
      </c>
      <c r="H58">
        <f t="shared" si="9"/>
        <v>14198.476643500002</v>
      </c>
    </row>
    <row r="59" spans="1:12">
      <c r="A59">
        <f t="shared" si="5"/>
        <v>65</v>
      </c>
      <c r="B59">
        <v>2600</v>
      </c>
      <c r="C59">
        <v>14</v>
      </c>
      <c r="D59">
        <v>58.199646999999999</v>
      </c>
      <c r="E59">
        <f t="shared" si="6"/>
        <v>58.199646999999999</v>
      </c>
      <c r="F59">
        <f t="shared" si="7"/>
        <v>135.29089941620001</v>
      </c>
      <c r="G59" s="6">
        <f t="shared" si="8"/>
        <v>0.38110112511605637</v>
      </c>
      <c r="H59">
        <f t="shared" si="9"/>
        <v>13529.089941620001</v>
      </c>
    </row>
    <row r="60" spans="1:12">
      <c r="A60">
        <f t="shared" si="5"/>
        <v>70</v>
      </c>
      <c r="B60">
        <v>2800</v>
      </c>
      <c r="C60">
        <v>15</v>
      </c>
      <c r="D60">
        <v>56.071401000000002</v>
      </c>
      <c r="E60">
        <f t="shared" si="6"/>
        <v>56.071401000000002</v>
      </c>
      <c r="F60">
        <f t="shared" si="7"/>
        <v>130.34357876460001</v>
      </c>
      <c r="G60" s="6">
        <f t="shared" si="8"/>
        <v>0.36716501060450707</v>
      </c>
      <c r="H60">
        <f t="shared" si="9"/>
        <v>13034.357876460001</v>
      </c>
    </row>
    <row r="61" spans="1:12">
      <c r="A61">
        <f t="shared" si="5"/>
        <v>75</v>
      </c>
      <c r="B61">
        <v>3000</v>
      </c>
      <c r="C61">
        <v>16</v>
      </c>
      <c r="D61">
        <v>58.86647</v>
      </c>
      <c r="E61">
        <f t="shared" si="6"/>
        <v>58.86647</v>
      </c>
      <c r="F61">
        <f t="shared" si="7"/>
        <v>136.84099616200001</v>
      </c>
      <c r="G61" s="6">
        <f t="shared" si="8"/>
        <v>0.38546759482253529</v>
      </c>
      <c r="H61">
        <f t="shared" si="9"/>
        <v>13684.099616200003</v>
      </c>
    </row>
    <row r="62" spans="1:12">
      <c r="A62">
        <f t="shared" si="5"/>
        <v>80</v>
      </c>
      <c r="B62">
        <v>3200</v>
      </c>
      <c r="C62">
        <v>17</v>
      </c>
      <c r="D62">
        <v>52.912675999999998</v>
      </c>
      <c r="E62">
        <f t="shared" si="6"/>
        <v>52.912675999999998</v>
      </c>
      <c r="F62">
        <f t="shared" si="7"/>
        <v>123.00080662960001</v>
      </c>
      <c r="G62" s="6">
        <f t="shared" si="8"/>
        <v>0.34648114543549297</v>
      </c>
      <c r="H62">
        <f t="shared" si="9"/>
        <v>12300.080662960001</v>
      </c>
    </row>
    <row r="63" spans="1:12">
      <c r="A63">
        <f t="shared" si="5"/>
        <v>85</v>
      </c>
      <c r="B63">
        <v>3400</v>
      </c>
      <c r="C63">
        <v>18</v>
      </c>
      <c r="D63">
        <v>52.607596000000001</v>
      </c>
      <c r="E63">
        <f t="shared" si="6"/>
        <v>52.607596000000001</v>
      </c>
      <c r="F63">
        <f t="shared" si="7"/>
        <v>122.29161766160001</v>
      </c>
      <c r="G63" s="6">
        <f t="shared" si="8"/>
        <v>0.34448343003267612</v>
      </c>
      <c r="H63">
        <f t="shared" si="9"/>
        <v>12229.161766160003</v>
      </c>
    </row>
    <row r="64" spans="1:12">
      <c r="A64">
        <f t="shared" si="5"/>
        <v>90</v>
      </c>
      <c r="B64">
        <v>3600</v>
      </c>
      <c r="C64">
        <v>19</v>
      </c>
      <c r="D64">
        <v>49.571001000000003</v>
      </c>
      <c r="E64">
        <f t="shared" si="6"/>
        <v>49.571001000000003</v>
      </c>
      <c r="F64">
        <f t="shared" si="7"/>
        <v>115.23274892460002</v>
      </c>
      <c r="G64" s="6">
        <f t="shared" si="8"/>
        <v>0.32459929274535215</v>
      </c>
      <c r="H64">
        <f t="shared" si="9"/>
        <v>11523.274892460002</v>
      </c>
      <c r="L64" t="s">
        <v>26</v>
      </c>
    </row>
    <row r="65" spans="1:8">
      <c r="A65">
        <f t="shared" si="5"/>
        <v>95</v>
      </c>
      <c r="B65">
        <v>3800</v>
      </c>
      <c r="C65">
        <v>20</v>
      </c>
      <c r="D65">
        <v>58.337839000000002</v>
      </c>
      <c r="E65">
        <f t="shared" si="6"/>
        <v>58.337839000000002</v>
      </c>
      <c r="F65">
        <f t="shared" si="7"/>
        <v>135.61214053940003</v>
      </c>
      <c r="G65" s="6">
        <f t="shared" si="8"/>
        <v>0.38200602968845077</v>
      </c>
      <c r="H65">
        <f t="shared" si="9"/>
        <v>13561.214053940002</v>
      </c>
    </row>
    <row r="66" spans="1:8">
      <c r="A66">
        <f t="shared" si="5"/>
        <v>100</v>
      </c>
      <c r="B66">
        <v>4000</v>
      </c>
      <c r="C66">
        <v>21</v>
      </c>
      <c r="D66">
        <v>62.152800999999997</v>
      </c>
      <c r="E66">
        <f t="shared" si="6"/>
        <v>62.152800999999997</v>
      </c>
      <c r="F66">
        <f t="shared" si="7"/>
        <v>144.48040120460001</v>
      </c>
      <c r="G66" s="6">
        <f t="shared" si="8"/>
        <v>0.40698704564676064</v>
      </c>
      <c r="H66">
        <f t="shared" si="9"/>
        <v>14448.040120460002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8596F-8AAB-493A-9C71-9A32433EA964}">
  <dimension ref="A1:J68"/>
  <sheetViews>
    <sheetView topLeftCell="A40" workbookViewId="0">
      <selection activeCell="H67" sqref="H67"/>
    </sheetView>
  </sheetViews>
  <sheetFormatPr defaultRowHeight="14.5"/>
  <cols>
    <col min="4" max="4" width="18.90625" customWidth="1"/>
    <col min="5" max="5" width="15.7265625" customWidth="1"/>
    <col min="6" max="6" width="17.36328125" style="6" customWidth="1"/>
    <col min="7" max="7" width="13.453125" customWidth="1"/>
    <col min="8" max="8" width="14.1796875" customWidth="1"/>
    <col min="9" max="9" width="17.453125" customWidth="1"/>
    <col min="12" max="12" width="15.453125" customWidth="1"/>
  </cols>
  <sheetData>
    <row r="1" spans="1:10">
      <c r="A1" t="s">
        <v>33</v>
      </c>
      <c r="H1" t="s">
        <v>20</v>
      </c>
      <c r="I1" t="s">
        <v>21</v>
      </c>
    </row>
    <row r="2" spans="1:10">
      <c r="A2" t="s">
        <v>5</v>
      </c>
      <c r="B2" t="s">
        <v>0</v>
      </c>
      <c r="C2" t="s">
        <v>1</v>
      </c>
      <c r="D2" s="6"/>
      <c r="E2" t="s">
        <v>4</v>
      </c>
      <c r="F2" t="s">
        <v>0</v>
      </c>
      <c r="G2" t="s">
        <v>1</v>
      </c>
      <c r="H2">
        <v>0.1</v>
      </c>
      <c r="I2">
        <v>0</v>
      </c>
    </row>
    <row r="3" spans="1:10">
      <c r="B3" s="4">
        <v>0</v>
      </c>
      <c r="C3">
        <v>0</v>
      </c>
      <c r="D3" s="6"/>
      <c r="F3" s="4">
        <v>0</v>
      </c>
      <c r="G3">
        <v>0</v>
      </c>
    </row>
    <row r="4" spans="1:10">
      <c r="B4" s="4">
        <v>1.2203870000000001</v>
      </c>
      <c r="C4">
        <v>5</v>
      </c>
      <c r="D4" s="6"/>
      <c r="F4" s="3">
        <v>0.30591800000000002</v>
      </c>
      <c r="G4">
        <v>1</v>
      </c>
    </row>
    <row r="5" spans="1:10">
      <c r="B5" s="4">
        <v>2.4311120000000002</v>
      </c>
      <c r="C5">
        <v>10</v>
      </c>
      <c r="D5" s="6"/>
      <c r="F5" s="3">
        <v>1.6983459999999999</v>
      </c>
      <c r="G5">
        <v>5</v>
      </c>
    </row>
    <row r="6" spans="1:10">
      <c r="B6" s="4">
        <v>3.7337539999999998</v>
      </c>
      <c r="C6">
        <v>15</v>
      </c>
      <c r="D6" s="6"/>
      <c r="F6" s="3">
        <v>3.6479370000000002</v>
      </c>
      <c r="G6">
        <v>10</v>
      </c>
    </row>
    <row r="7" spans="1:10">
      <c r="B7" s="4">
        <v>6.3590109999999997</v>
      </c>
      <c r="C7">
        <v>25</v>
      </c>
      <c r="D7" s="6"/>
      <c r="F7" s="3">
        <v>7.8052489999999999</v>
      </c>
      <c r="G7">
        <v>20</v>
      </c>
    </row>
    <row r="8" spans="1:10">
      <c r="B8" s="3"/>
      <c r="D8" s="6"/>
      <c r="F8" s="3">
        <v>42.074738000000004</v>
      </c>
      <c r="G8">
        <v>100</v>
      </c>
    </row>
    <row r="12" spans="1:10">
      <c r="D12" t="s">
        <v>5</v>
      </c>
    </row>
    <row r="13" spans="1:10">
      <c r="A13" t="s">
        <v>10</v>
      </c>
      <c r="B13" t="s">
        <v>18</v>
      </c>
      <c r="C13" t="s">
        <v>17</v>
      </c>
      <c r="D13" t="s">
        <v>0</v>
      </c>
      <c r="E13" t="s">
        <v>22</v>
      </c>
      <c r="F13" t="s">
        <v>3</v>
      </c>
      <c r="G13" s="6" t="s">
        <v>16</v>
      </c>
      <c r="H13" s="1" t="s">
        <v>13</v>
      </c>
      <c r="J13" s="2"/>
    </row>
    <row r="14" spans="1:10">
      <c r="A14">
        <f>B14/40</f>
        <v>0</v>
      </c>
      <c r="B14">
        <v>0</v>
      </c>
      <c r="C14">
        <v>0</v>
      </c>
      <c r="D14">
        <v>0</v>
      </c>
      <c r="E14">
        <f>D14-$H$2</f>
        <v>-0.1</v>
      </c>
      <c r="F14">
        <f>3.4695*D14</f>
        <v>0</v>
      </c>
      <c r="G14" s="6">
        <f>F14*20/96/1000</f>
        <v>0</v>
      </c>
      <c r="H14">
        <f>G14*96*1000</f>
        <v>0</v>
      </c>
    </row>
    <row r="15" spans="1:10">
      <c r="A15">
        <f>B15/40</f>
        <v>0</v>
      </c>
      <c r="B15">
        <v>0</v>
      </c>
      <c r="C15">
        <v>1</v>
      </c>
      <c r="D15">
        <v>25.197044000000002</v>
      </c>
      <c r="E15">
        <f t="shared" ref="E15:E37" si="0">D15-$H$2</f>
        <v>25.097044</v>
      </c>
      <c r="F15">
        <f>3.9722*E15</f>
        <v>99.690478176799999</v>
      </c>
      <c r="G15" s="6">
        <f>F15*100/96/1000</f>
        <v>0.10384424810083334</v>
      </c>
      <c r="H15">
        <f t="shared" ref="H15:H37" si="1">G15*96*1000</f>
        <v>9969.0478176800007</v>
      </c>
    </row>
    <row r="16" spans="1:10">
      <c r="A16">
        <f t="shared" ref="A16:A37" si="2">B16/40</f>
        <v>0.05</v>
      </c>
      <c r="B16">
        <v>2</v>
      </c>
      <c r="C16">
        <v>2</v>
      </c>
      <c r="D16">
        <v>21.620702999999999</v>
      </c>
      <c r="E16">
        <f t="shared" si="0"/>
        <v>21.520702999999997</v>
      </c>
      <c r="F16">
        <f t="shared" ref="F16:F37" si="3">3.9722*E16</f>
        <v>85.484536456599983</v>
      </c>
      <c r="G16" s="6">
        <f t="shared" ref="G16:G37" si="4">F16*100/96/1000</f>
        <v>8.9046392142291653E-2</v>
      </c>
      <c r="H16">
        <f t="shared" si="1"/>
        <v>8548.4536456599981</v>
      </c>
    </row>
    <row r="17" spans="1:9">
      <c r="A17">
        <f t="shared" si="2"/>
        <v>0.1</v>
      </c>
      <c r="B17">
        <v>4</v>
      </c>
      <c r="C17">
        <v>3</v>
      </c>
      <c r="D17">
        <v>16.888929000000001</v>
      </c>
      <c r="E17">
        <f t="shared" si="0"/>
        <v>16.788929</v>
      </c>
      <c r="F17">
        <f t="shared" si="3"/>
        <v>66.688983773800004</v>
      </c>
      <c r="G17" s="6">
        <f t="shared" si="4"/>
        <v>6.9467691431041673E-2</v>
      </c>
      <c r="H17">
        <f t="shared" si="1"/>
        <v>6668.898377380001</v>
      </c>
    </row>
    <row r="18" spans="1:9">
      <c r="A18">
        <f t="shared" si="2"/>
        <v>0.15</v>
      </c>
      <c r="B18">
        <v>6</v>
      </c>
      <c r="C18">
        <v>4</v>
      </c>
      <c r="D18">
        <v>13.826269</v>
      </c>
      <c r="E18">
        <f t="shared" si="0"/>
        <v>13.726269</v>
      </c>
      <c r="F18">
        <f t="shared" si="3"/>
        <v>54.5234857218</v>
      </c>
      <c r="G18" s="6">
        <f t="shared" si="4"/>
        <v>5.6795297626874998E-2</v>
      </c>
      <c r="H18">
        <f t="shared" si="1"/>
        <v>5452.3485721799998</v>
      </c>
    </row>
    <row r="19" spans="1:9">
      <c r="A19">
        <f t="shared" si="2"/>
        <v>0.2</v>
      </c>
      <c r="B19">
        <v>8</v>
      </c>
      <c r="C19">
        <v>5</v>
      </c>
      <c r="D19">
        <v>26.065131999999998</v>
      </c>
      <c r="E19">
        <f t="shared" si="0"/>
        <v>25.965131999999997</v>
      </c>
      <c r="F19">
        <f t="shared" si="3"/>
        <v>103.13869733039999</v>
      </c>
      <c r="G19" s="6">
        <f t="shared" si="4"/>
        <v>0.10743614305249999</v>
      </c>
      <c r="H19">
        <f t="shared" si="1"/>
        <v>10313.869733039999</v>
      </c>
    </row>
    <row r="20" spans="1:9">
      <c r="A20">
        <f t="shared" si="2"/>
        <v>0.25</v>
      </c>
      <c r="B20">
        <v>10</v>
      </c>
      <c r="C20">
        <v>6</v>
      </c>
      <c r="D20">
        <v>35.220007000000003</v>
      </c>
      <c r="E20">
        <f t="shared" si="0"/>
        <v>35.120007000000001</v>
      </c>
      <c r="F20">
        <f t="shared" si="3"/>
        <v>139.5036918054</v>
      </c>
      <c r="G20" s="6">
        <f t="shared" si="4"/>
        <v>0.14531634563062498</v>
      </c>
      <c r="H20">
        <f t="shared" si="1"/>
        <v>13950.369180539998</v>
      </c>
    </row>
    <row r="21" spans="1:9">
      <c r="A21">
        <f t="shared" si="2"/>
        <v>0.3</v>
      </c>
      <c r="B21">
        <v>12</v>
      </c>
      <c r="C21">
        <v>7</v>
      </c>
      <c r="D21">
        <v>37.439981000000003</v>
      </c>
      <c r="E21">
        <f t="shared" si="0"/>
        <v>37.339981000000002</v>
      </c>
      <c r="F21">
        <f t="shared" si="3"/>
        <v>148.3218725282</v>
      </c>
      <c r="G21" s="6">
        <f t="shared" si="4"/>
        <v>0.15450195055020832</v>
      </c>
      <c r="H21">
        <f t="shared" si="1"/>
        <v>14832.187252819998</v>
      </c>
    </row>
    <row r="22" spans="1:9">
      <c r="A22">
        <f t="shared" si="2"/>
        <v>0.35</v>
      </c>
      <c r="B22">
        <v>14</v>
      </c>
      <c r="C22">
        <v>8</v>
      </c>
      <c r="D22">
        <v>55.872509000000001</v>
      </c>
      <c r="E22">
        <f t="shared" si="0"/>
        <v>55.772508999999999</v>
      </c>
      <c r="F22">
        <f t="shared" si="3"/>
        <v>221.53956024979999</v>
      </c>
      <c r="G22" s="6">
        <f t="shared" si="4"/>
        <v>0.2307703752602083</v>
      </c>
      <c r="H22">
        <f t="shared" si="1"/>
        <v>22153.956024979998</v>
      </c>
    </row>
    <row r="23" spans="1:9">
      <c r="A23">
        <f t="shared" si="2"/>
        <v>0.4</v>
      </c>
      <c r="B23">
        <v>16</v>
      </c>
      <c r="C23">
        <v>9</v>
      </c>
      <c r="D23">
        <v>60.816985000000003</v>
      </c>
      <c r="E23">
        <f t="shared" si="0"/>
        <v>60.716985000000001</v>
      </c>
      <c r="F23">
        <f t="shared" si="3"/>
        <v>241.18000781699999</v>
      </c>
      <c r="G23" s="6">
        <f t="shared" si="4"/>
        <v>0.25122917480937501</v>
      </c>
      <c r="H23">
        <f t="shared" si="1"/>
        <v>24118.000781700001</v>
      </c>
    </row>
    <row r="24" spans="1:9">
      <c r="A24">
        <f t="shared" si="2"/>
        <v>0.45</v>
      </c>
      <c r="B24">
        <v>18</v>
      </c>
      <c r="C24">
        <v>10</v>
      </c>
      <c r="D24">
        <v>63.632463000000001</v>
      </c>
      <c r="E24">
        <f t="shared" si="0"/>
        <v>63.532463</v>
      </c>
      <c r="F24">
        <f t="shared" si="3"/>
        <v>252.36364952860001</v>
      </c>
      <c r="G24" s="6">
        <f t="shared" si="4"/>
        <v>0.26287880159229166</v>
      </c>
      <c r="H24">
        <f t="shared" si="1"/>
        <v>25236.36495286</v>
      </c>
    </row>
    <row r="25" spans="1:9">
      <c r="A25">
        <f t="shared" si="2"/>
        <v>0.5</v>
      </c>
      <c r="B25">
        <v>20</v>
      </c>
      <c r="C25">
        <v>11</v>
      </c>
      <c r="D25">
        <v>44.731228999999999</v>
      </c>
      <c r="E25">
        <f t="shared" si="0"/>
        <v>44.631228999999998</v>
      </c>
      <c r="F25">
        <f t="shared" si="3"/>
        <v>177.28416783379998</v>
      </c>
      <c r="G25" s="6">
        <f t="shared" si="4"/>
        <v>0.18467100816020832</v>
      </c>
      <c r="H25">
        <f t="shared" si="1"/>
        <v>17728.416783379998</v>
      </c>
    </row>
    <row r="26" spans="1:9">
      <c r="A26">
        <f t="shared" si="2"/>
        <v>0.55000000000000004</v>
      </c>
      <c r="B26">
        <v>22</v>
      </c>
      <c r="C26">
        <v>12</v>
      </c>
      <c r="D26">
        <v>64.932106000000005</v>
      </c>
      <c r="E26">
        <f t="shared" si="0"/>
        <v>64.83210600000001</v>
      </c>
      <c r="F26">
        <f t="shared" si="3"/>
        <v>257.52609145320002</v>
      </c>
      <c r="G26" s="6">
        <f t="shared" si="4"/>
        <v>0.26825634526375003</v>
      </c>
      <c r="H26">
        <f t="shared" si="1"/>
        <v>25752.609145320002</v>
      </c>
      <c r="I26" s="2"/>
    </row>
    <row r="27" spans="1:9">
      <c r="A27">
        <f t="shared" si="2"/>
        <v>0.6</v>
      </c>
      <c r="B27">
        <v>24</v>
      </c>
      <c r="C27">
        <v>13</v>
      </c>
      <c r="D27">
        <v>53.710540000000002</v>
      </c>
      <c r="E27">
        <f t="shared" si="0"/>
        <v>53.61054</v>
      </c>
      <c r="F27">
        <f t="shared" si="3"/>
        <v>212.95178698800001</v>
      </c>
      <c r="G27" s="6">
        <f t="shared" si="4"/>
        <v>0.22182477811250001</v>
      </c>
      <c r="H27">
        <f t="shared" si="1"/>
        <v>21295.178698800002</v>
      </c>
      <c r="I27" s="2"/>
    </row>
    <row r="28" spans="1:9">
      <c r="A28">
        <f t="shared" si="2"/>
        <v>0.65</v>
      </c>
      <c r="B28">
        <v>26</v>
      </c>
      <c r="C28">
        <v>14</v>
      </c>
      <c r="D28">
        <v>50.667662999999997</v>
      </c>
      <c r="E28">
        <f t="shared" si="0"/>
        <v>50.567662999999996</v>
      </c>
      <c r="F28">
        <f t="shared" si="3"/>
        <v>200.86487096859997</v>
      </c>
      <c r="G28" s="6">
        <f t="shared" si="4"/>
        <v>0.20923424059229162</v>
      </c>
      <c r="H28">
        <f t="shared" si="1"/>
        <v>20086.487096859997</v>
      </c>
    </row>
    <row r="29" spans="1:9">
      <c r="A29">
        <f t="shared" si="2"/>
        <v>0.7</v>
      </c>
      <c r="B29">
        <v>28</v>
      </c>
      <c r="C29">
        <v>15</v>
      </c>
      <c r="D29">
        <v>67.868972999999997</v>
      </c>
      <c r="E29">
        <f t="shared" si="0"/>
        <v>67.768973000000003</v>
      </c>
      <c r="F29">
        <f t="shared" si="3"/>
        <v>269.19191455060002</v>
      </c>
      <c r="G29" s="6">
        <f t="shared" si="4"/>
        <v>0.28040824432354167</v>
      </c>
      <c r="H29">
        <f t="shared" si="1"/>
        <v>26919.191455060001</v>
      </c>
    </row>
    <row r="30" spans="1:9">
      <c r="A30">
        <f t="shared" si="2"/>
        <v>0.75</v>
      </c>
      <c r="B30">
        <v>30</v>
      </c>
      <c r="C30">
        <v>16</v>
      </c>
      <c r="D30">
        <v>66.141639999999995</v>
      </c>
      <c r="E30">
        <f t="shared" si="0"/>
        <v>66.041640000000001</v>
      </c>
      <c r="F30">
        <f t="shared" si="3"/>
        <v>262.330602408</v>
      </c>
      <c r="G30" s="6">
        <f t="shared" si="4"/>
        <v>0.27326104417499997</v>
      </c>
      <c r="H30">
        <f t="shared" si="1"/>
        <v>26233.060240799998</v>
      </c>
    </row>
    <row r="31" spans="1:9">
      <c r="A31">
        <f t="shared" si="2"/>
        <v>0.8</v>
      </c>
      <c r="B31">
        <v>32</v>
      </c>
      <c r="C31">
        <v>17</v>
      </c>
      <c r="D31">
        <v>66.073536000000004</v>
      </c>
      <c r="E31">
        <f t="shared" si="0"/>
        <v>65.97353600000001</v>
      </c>
      <c r="F31">
        <f t="shared" si="3"/>
        <v>262.06007969920006</v>
      </c>
      <c r="G31" s="6">
        <f t="shared" si="4"/>
        <v>0.2729792496866667</v>
      </c>
      <c r="H31">
        <f t="shared" si="1"/>
        <v>26206.007969920003</v>
      </c>
    </row>
    <row r="32" spans="1:9">
      <c r="A32">
        <f t="shared" si="2"/>
        <v>0.85</v>
      </c>
      <c r="B32">
        <v>34</v>
      </c>
      <c r="C32">
        <v>18</v>
      </c>
      <c r="D32">
        <v>67.467788999999996</v>
      </c>
      <c r="E32">
        <f t="shared" si="0"/>
        <v>67.367789000000002</v>
      </c>
      <c r="F32">
        <f t="shared" si="3"/>
        <v>267.59833146580002</v>
      </c>
      <c r="G32" s="6">
        <f t="shared" si="4"/>
        <v>0.27874826194354163</v>
      </c>
      <c r="H32">
        <f t="shared" si="1"/>
        <v>26759.833146579997</v>
      </c>
    </row>
    <row r="33" spans="1:8">
      <c r="A33">
        <f t="shared" si="2"/>
        <v>0.9</v>
      </c>
      <c r="B33">
        <v>36</v>
      </c>
      <c r="C33">
        <v>19</v>
      </c>
      <c r="D33">
        <v>68.004313999999994</v>
      </c>
      <c r="E33">
        <f t="shared" si="0"/>
        <v>67.904313999999999</v>
      </c>
      <c r="F33">
        <f t="shared" si="3"/>
        <v>269.7295160708</v>
      </c>
      <c r="G33" s="6">
        <f t="shared" si="4"/>
        <v>0.28096824590708336</v>
      </c>
      <c r="H33">
        <f t="shared" si="1"/>
        <v>26972.951607080002</v>
      </c>
    </row>
    <row r="34" spans="1:8">
      <c r="A34">
        <f t="shared" si="2"/>
        <v>0.95</v>
      </c>
      <c r="B34">
        <v>38</v>
      </c>
      <c r="C34">
        <v>20</v>
      </c>
      <c r="D34">
        <v>54.615564999999997</v>
      </c>
      <c r="E34">
        <f t="shared" si="0"/>
        <v>54.515564999999995</v>
      </c>
      <c r="F34">
        <f t="shared" si="3"/>
        <v>216.54672729299998</v>
      </c>
      <c r="G34" s="6">
        <f t="shared" si="4"/>
        <v>0.22556950759687497</v>
      </c>
      <c r="H34">
        <f t="shared" si="1"/>
        <v>21654.672729299997</v>
      </c>
    </row>
    <row r="35" spans="1:8">
      <c r="A35">
        <f t="shared" si="2"/>
        <v>1</v>
      </c>
      <c r="B35">
        <v>40</v>
      </c>
      <c r="C35">
        <v>21</v>
      </c>
      <c r="D35">
        <v>56.338707999999997</v>
      </c>
      <c r="E35">
        <f t="shared" si="0"/>
        <v>56.238707999999995</v>
      </c>
      <c r="F35">
        <f t="shared" si="3"/>
        <v>223.39139591759999</v>
      </c>
      <c r="G35" s="6">
        <f t="shared" si="4"/>
        <v>0.2326993707475</v>
      </c>
      <c r="H35">
        <f t="shared" si="1"/>
        <v>22339.139591759998</v>
      </c>
    </row>
    <row r="36" spans="1:8">
      <c r="A36">
        <f t="shared" si="2"/>
        <v>1.05</v>
      </c>
      <c r="B36">
        <v>42</v>
      </c>
      <c r="C36">
        <v>22</v>
      </c>
      <c r="D36">
        <v>59.721606000000001</v>
      </c>
      <c r="E36">
        <f t="shared" si="0"/>
        <v>59.621606</v>
      </c>
      <c r="F36">
        <f t="shared" si="3"/>
        <v>236.8289433532</v>
      </c>
      <c r="G36" s="6">
        <f t="shared" si="4"/>
        <v>0.24669681599291668</v>
      </c>
      <c r="H36">
        <f t="shared" si="1"/>
        <v>23682.894335320001</v>
      </c>
    </row>
    <row r="37" spans="1:8">
      <c r="A37">
        <f t="shared" si="2"/>
        <v>1.1000000000000001</v>
      </c>
      <c r="B37">
        <v>44</v>
      </c>
      <c r="C37">
        <v>23</v>
      </c>
      <c r="D37">
        <v>69.252734000000004</v>
      </c>
      <c r="E37">
        <f t="shared" si="0"/>
        <v>69.152734000000009</v>
      </c>
      <c r="F37">
        <f t="shared" si="3"/>
        <v>274.68848999480002</v>
      </c>
      <c r="G37" s="6">
        <f t="shared" si="4"/>
        <v>0.28613384374458339</v>
      </c>
      <c r="H37">
        <f t="shared" si="1"/>
        <v>27468.848999480007</v>
      </c>
    </row>
    <row r="43" spans="1:8">
      <c r="D43" t="s">
        <v>4</v>
      </c>
      <c r="G43" s="2"/>
    </row>
    <row r="44" spans="1:8">
      <c r="A44" t="s">
        <v>10</v>
      </c>
      <c r="B44" t="s">
        <v>18</v>
      </c>
      <c r="C44" t="s">
        <v>17</v>
      </c>
      <c r="D44" t="s">
        <v>0</v>
      </c>
      <c r="E44" t="s">
        <v>22</v>
      </c>
      <c r="F44" t="s">
        <v>3</v>
      </c>
      <c r="G44" s="6" t="s">
        <v>16</v>
      </c>
    </row>
    <row r="45" spans="1:8">
      <c r="A45">
        <f>B45/40</f>
        <v>0</v>
      </c>
      <c r="B45">
        <v>0</v>
      </c>
      <c r="C45">
        <v>0</v>
      </c>
      <c r="D45">
        <v>63.373133000000003</v>
      </c>
      <c r="E45" s="1">
        <f>D45-$I$2</f>
        <v>63.373133000000003</v>
      </c>
      <c r="F45">
        <f>2.3864*E45</f>
        <v>151.2336445912</v>
      </c>
      <c r="G45" s="6">
        <f>F45*100/35.5/1000</f>
        <v>0.42601026645408457</v>
      </c>
      <c r="H45">
        <f>G45*35.5*1000</f>
        <v>15123.364459120003</v>
      </c>
    </row>
    <row r="46" spans="1:8">
      <c r="A46">
        <f t="shared" ref="A46:A68" si="5">B46/40</f>
        <v>0</v>
      </c>
      <c r="B46">
        <v>0</v>
      </c>
      <c r="C46">
        <v>1</v>
      </c>
      <c r="D46">
        <v>0.22250900000000001</v>
      </c>
      <c r="E46">
        <f t="shared" ref="E46:E68" si="6">D46-$I$2</f>
        <v>0.22250900000000001</v>
      </c>
      <c r="F46">
        <f t="shared" ref="F46:F68" si="7">2.3864*E46</f>
        <v>0.5309954776000001</v>
      </c>
      <c r="G46" s="6">
        <f t="shared" ref="G46:G68" si="8">F46*100/35.5/1000</f>
        <v>1.4957619087323946E-3</v>
      </c>
      <c r="H46">
        <f t="shared" ref="H46:H65" si="9">G46*35.5*1000</f>
        <v>53.099547760000014</v>
      </c>
    </row>
    <row r="47" spans="1:8">
      <c r="A47">
        <f t="shared" si="5"/>
        <v>0.05</v>
      </c>
      <c r="B47">
        <v>2</v>
      </c>
      <c r="C47">
        <v>2</v>
      </c>
      <c r="D47">
        <v>0.23405000000000001</v>
      </c>
      <c r="E47">
        <f t="shared" si="6"/>
        <v>0.23405000000000001</v>
      </c>
      <c r="F47">
        <f t="shared" si="7"/>
        <v>0.55853691999999999</v>
      </c>
      <c r="G47" s="6">
        <f t="shared" si="8"/>
        <v>1.5733434366197183E-3</v>
      </c>
      <c r="H47">
        <f t="shared" si="9"/>
        <v>55.853691999999995</v>
      </c>
    </row>
    <row r="48" spans="1:8">
      <c r="A48">
        <f t="shared" si="5"/>
        <v>0.1</v>
      </c>
      <c r="B48">
        <v>4</v>
      </c>
      <c r="C48">
        <v>3</v>
      </c>
      <c r="D48">
        <v>0.200542</v>
      </c>
      <c r="E48">
        <f t="shared" si="6"/>
        <v>0.200542</v>
      </c>
      <c r="F48">
        <f t="shared" si="7"/>
        <v>0.47857342880000003</v>
      </c>
      <c r="G48" s="6">
        <f t="shared" si="8"/>
        <v>1.3480941656338031E-3</v>
      </c>
      <c r="H48">
        <f t="shared" si="9"/>
        <v>47.857342880000004</v>
      </c>
    </row>
    <row r="49" spans="1:8">
      <c r="A49">
        <f t="shared" si="5"/>
        <v>0.15</v>
      </c>
      <c r="B49">
        <v>6</v>
      </c>
      <c r="C49">
        <v>4</v>
      </c>
      <c r="D49">
        <v>0.16531199999999999</v>
      </c>
      <c r="E49">
        <f t="shared" si="6"/>
        <v>0.16531199999999999</v>
      </c>
      <c r="F49">
        <f t="shared" si="7"/>
        <v>0.39450055679999996</v>
      </c>
      <c r="G49" s="6">
        <f t="shared" si="8"/>
        <v>1.111269174084507E-3</v>
      </c>
      <c r="H49">
        <f t="shared" si="9"/>
        <v>39.450055679999998</v>
      </c>
    </row>
    <row r="50" spans="1:8">
      <c r="A50">
        <f t="shared" si="5"/>
        <v>0.2</v>
      </c>
      <c r="B50">
        <v>8</v>
      </c>
      <c r="C50">
        <v>5</v>
      </c>
      <c r="D50">
        <v>0.231431</v>
      </c>
      <c r="E50">
        <f t="shared" si="6"/>
        <v>0.231431</v>
      </c>
      <c r="F50">
        <f t="shared" si="7"/>
        <v>0.55228693839999998</v>
      </c>
      <c r="G50" s="6">
        <f t="shared" si="8"/>
        <v>1.5557378546478874E-3</v>
      </c>
      <c r="H50">
        <f t="shared" si="9"/>
        <v>55.228693840000005</v>
      </c>
    </row>
    <row r="51" spans="1:8">
      <c r="A51">
        <f t="shared" si="5"/>
        <v>0.25</v>
      </c>
      <c r="B51">
        <v>10</v>
      </c>
      <c r="C51">
        <v>6</v>
      </c>
      <c r="D51">
        <v>0.22797799999999999</v>
      </c>
      <c r="E51">
        <f t="shared" si="6"/>
        <v>0.22797799999999999</v>
      </c>
      <c r="F51">
        <f t="shared" si="7"/>
        <v>0.54404669920000004</v>
      </c>
      <c r="G51" s="6">
        <f t="shared" si="8"/>
        <v>1.5325259132394366E-3</v>
      </c>
      <c r="H51">
        <f t="shared" si="9"/>
        <v>54.404669920000003</v>
      </c>
    </row>
    <row r="52" spans="1:8">
      <c r="A52">
        <f t="shared" si="5"/>
        <v>0.3</v>
      </c>
      <c r="B52">
        <v>12</v>
      </c>
      <c r="C52">
        <v>7</v>
      </c>
      <c r="D52">
        <v>0.200187</v>
      </c>
      <c r="E52">
        <f t="shared" si="6"/>
        <v>0.200187</v>
      </c>
      <c r="F52">
        <f t="shared" si="7"/>
        <v>0.47772625680000003</v>
      </c>
      <c r="G52" s="6">
        <f t="shared" si="8"/>
        <v>1.3457077656338029E-3</v>
      </c>
      <c r="H52">
        <f t="shared" si="9"/>
        <v>47.772625679999997</v>
      </c>
    </row>
    <row r="53" spans="1:8">
      <c r="A53">
        <f t="shared" si="5"/>
        <v>0.35</v>
      </c>
      <c r="B53">
        <v>14</v>
      </c>
      <c r="C53">
        <v>8</v>
      </c>
      <c r="D53">
        <v>0.270094</v>
      </c>
      <c r="E53">
        <f t="shared" si="6"/>
        <v>0.270094</v>
      </c>
      <c r="F53">
        <f t="shared" si="7"/>
        <v>0.64455232159999998</v>
      </c>
      <c r="G53" s="6">
        <f t="shared" si="8"/>
        <v>1.815640342535211E-3</v>
      </c>
      <c r="H53">
        <f t="shared" si="9"/>
        <v>64.45523215999998</v>
      </c>
    </row>
    <row r="54" spans="1:8">
      <c r="A54">
        <f t="shared" si="5"/>
        <v>0.4</v>
      </c>
      <c r="B54">
        <v>16</v>
      </c>
      <c r="C54">
        <v>9</v>
      </c>
      <c r="D54">
        <v>0.277752</v>
      </c>
      <c r="E54">
        <f t="shared" si="6"/>
        <v>0.277752</v>
      </c>
      <c r="F54">
        <f t="shared" si="7"/>
        <v>0.66282737280000004</v>
      </c>
      <c r="G54" s="6">
        <f t="shared" si="8"/>
        <v>1.8671193600000003E-3</v>
      </c>
      <c r="H54">
        <f t="shared" si="9"/>
        <v>66.282737280000006</v>
      </c>
    </row>
    <row r="55" spans="1:8">
      <c r="A55">
        <f t="shared" si="5"/>
        <v>0.45</v>
      </c>
      <c r="B55">
        <v>18</v>
      </c>
      <c r="C55">
        <v>10</v>
      </c>
      <c r="D55">
        <v>0.287462</v>
      </c>
      <c r="E55">
        <f t="shared" si="6"/>
        <v>0.287462</v>
      </c>
      <c r="F55">
        <f t="shared" si="7"/>
        <v>0.68599931680000004</v>
      </c>
      <c r="G55" s="6">
        <f t="shared" si="8"/>
        <v>1.9323924416901408E-3</v>
      </c>
      <c r="H55">
        <f t="shared" si="9"/>
        <v>68.599931679999997</v>
      </c>
    </row>
    <row r="56" spans="1:8">
      <c r="A56">
        <f t="shared" si="5"/>
        <v>0.5</v>
      </c>
      <c r="B56">
        <v>20</v>
      </c>
      <c r="C56">
        <v>11</v>
      </c>
      <c r="D56">
        <v>0.19728399999999999</v>
      </c>
      <c r="E56">
        <f t="shared" si="6"/>
        <v>0.19728399999999999</v>
      </c>
      <c r="F56">
        <f t="shared" si="7"/>
        <v>0.47079853760000001</v>
      </c>
      <c r="G56" s="6">
        <f t="shared" si="8"/>
        <v>1.3261930636619718E-3</v>
      </c>
      <c r="H56">
        <f t="shared" si="9"/>
        <v>47.079853759999999</v>
      </c>
    </row>
    <row r="57" spans="1:8">
      <c r="A57">
        <f t="shared" si="5"/>
        <v>0.55000000000000004</v>
      </c>
      <c r="B57">
        <v>22</v>
      </c>
      <c r="C57">
        <v>12</v>
      </c>
      <c r="D57">
        <v>0.27271800000000002</v>
      </c>
      <c r="E57">
        <f t="shared" si="6"/>
        <v>0.27271800000000002</v>
      </c>
      <c r="F57">
        <f t="shared" si="7"/>
        <v>0.65081423520000004</v>
      </c>
      <c r="G57" s="6">
        <f t="shared" si="8"/>
        <v>1.8332795357746479E-3</v>
      </c>
      <c r="H57">
        <f t="shared" si="9"/>
        <v>65.081423520000001</v>
      </c>
    </row>
    <row r="58" spans="1:8">
      <c r="A58">
        <f t="shared" si="5"/>
        <v>0.6</v>
      </c>
      <c r="B58">
        <v>24</v>
      </c>
      <c r="C58">
        <v>13</v>
      </c>
      <c r="D58">
        <v>0.220609</v>
      </c>
      <c r="E58">
        <f t="shared" si="6"/>
        <v>0.220609</v>
      </c>
      <c r="F58">
        <f t="shared" si="7"/>
        <v>0.52646131760000003</v>
      </c>
      <c r="G58" s="6">
        <f t="shared" si="8"/>
        <v>1.4829896270422535E-3</v>
      </c>
      <c r="H58">
        <f t="shared" si="9"/>
        <v>52.646131759999996</v>
      </c>
    </row>
    <row r="59" spans="1:8">
      <c r="A59">
        <f t="shared" si="5"/>
        <v>0.65</v>
      </c>
      <c r="B59">
        <v>26</v>
      </c>
      <c r="C59">
        <v>14</v>
      </c>
      <c r="D59">
        <v>0.20388000000000001</v>
      </c>
      <c r="E59">
        <f t="shared" si="6"/>
        <v>0.20388000000000001</v>
      </c>
      <c r="F59">
        <f t="shared" si="7"/>
        <v>0.48653923200000004</v>
      </c>
      <c r="G59" s="6">
        <f t="shared" si="8"/>
        <v>1.3705330478873238E-3</v>
      </c>
      <c r="H59">
        <f t="shared" si="9"/>
        <v>48.653923199999994</v>
      </c>
    </row>
    <row r="60" spans="1:8">
      <c r="A60">
        <f t="shared" si="5"/>
        <v>0.7</v>
      </c>
      <c r="B60">
        <v>28</v>
      </c>
      <c r="C60">
        <v>15</v>
      </c>
      <c r="D60">
        <v>0.26756099999999999</v>
      </c>
      <c r="E60">
        <f t="shared" si="6"/>
        <v>0.26756099999999999</v>
      </c>
      <c r="F60">
        <f t="shared" si="7"/>
        <v>0.63850757040000006</v>
      </c>
      <c r="G60" s="6">
        <f t="shared" si="8"/>
        <v>1.7986128743661973E-3</v>
      </c>
      <c r="H60">
        <f t="shared" si="9"/>
        <v>63.850757039999998</v>
      </c>
    </row>
    <row r="61" spans="1:8">
      <c r="A61">
        <f t="shared" si="5"/>
        <v>0.75</v>
      </c>
      <c r="B61">
        <v>30</v>
      </c>
      <c r="C61">
        <v>16</v>
      </c>
      <c r="D61">
        <v>0.25588100000000003</v>
      </c>
      <c r="E61">
        <f t="shared" si="6"/>
        <v>0.25588100000000003</v>
      </c>
      <c r="F61">
        <f t="shared" si="7"/>
        <v>0.6106344184000001</v>
      </c>
      <c r="G61" s="6">
        <f t="shared" si="8"/>
        <v>1.720096953239437E-3</v>
      </c>
      <c r="H61">
        <f t="shared" si="9"/>
        <v>61.06344184000001</v>
      </c>
    </row>
    <row r="62" spans="1:8">
      <c r="A62">
        <f t="shared" si="5"/>
        <v>0.8</v>
      </c>
      <c r="B62">
        <v>32</v>
      </c>
      <c r="C62">
        <v>17</v>
      </c>
      <c r="D62">
        <v>0.25069599999999997</v>
      </c>
      <c r="E62">
        <f t="shared" si="6"/>
        <v>0.25069599999999997</v>
      </c>
      <c r="F62">
        <f t="shared" si="7"/>
        <v>0.59826093439999994</v>
      </c>
      <c r="G62" s="6">
        <f t="shared" si="8"/>
        <v>1.6852420687323941E-3</v>
      </c>
      <c r="H62">
        <f t="shared" si="9"/>
        <v>59.826093439999994</v>
      </c>
    </row>
    <row r="63" spans="1:8">
      <c r="A63">
        <f t="shared" si="5"/>
        <v>0.85</v>
      </c>
      <c r="B63">
        <v>34</v>
      </c>
      <c r="C63">
        <v>18</v>
      </c>
      <c r="D63">
        <v>0.25189299999999998</v>
      </c>
      <c r="E63">
        <f t="shared" si="6"/>
        <v>0.25189299999999998</v>
      </c>
      <c r="F63">
        <f t="shared" si="7"/>
        <v>0.60111745519999993</v>
      </c>
      <c r="G63" s="6">
        <f t="shared" si="8"/>
        <v>1.6932886061971828E-3</v>
      </c>
      <c r="H63">
        <f t="shared" si="9"/>
        <v>60.111745519999985</v>
      </c>
    </row>
    <row r="64" spans="1:8">
      <c r="A64">
        <f t="shared" si="5"/>
        <v>0.9</v>
      </c>
      <c r="B64">
        <v>36</v>
      </c>
      <c r="C64">
        <v>19</v>
      </c>
      <c r="D64">
        <v>0.25046099999999999</v>
      </c>
      <c r="E64">
        <f t="shared" si="6"/>
        <v>0.25046099999999999</v>
      </c>
      <c r="F64">
        <f t="shared" si="7"/>
        <v>0.59770013040000003</v>
      </c>
      <c r="G64" s="6">
        <f t="shared" si="8"/>
        <v>1.6836623391549297E-3</v>
      </c>
      <c r="H64">
        <f t="shared" si="9"/>
        <v>59.770013040000002</v>
      </c>
    </row>
    <row r="65" spans="1:8">
      <c r="A65">
        <f t="shared" si="5"/>
        <v>0.95</v>
      </c>
      <c r="B65">
        <v>38</v>
      </c>
      <c r="C65">
        <v>20</v>
      </c>
      <c r="D65">
        <v>0.198268</v>
      </c>
      <c r="E65">
        <f t="shared" si="6"/>
        <v>0.198268</v>
      </c>
      <c r="F65">
        <f t="shared" si="7"/>
        <v>0.47314675519999999</v>
      </c>
      <c r="G65" s="6">
        <f t="shared" si="8"/>
        <v>1.3328077611267607E-3</v>
      </c>
      <c r="H65">
        <f t="shared" si="9"/>
        <v>47.314675520000002</v>
      </c>
    </row>
    <row r="66" spans="1:8">
      <c r="A66">
        <f t="shared" si="5"/>
        <v>1</v>
      </c>
      <c r="B66">
        <v>40</v>
      </c>
      <c r="C66">
        <v>21</v>
      </c>
      <c r="D66">
        <v>0.20122399999999999</v>
      </c>
      <c r="E66">
        <f t="shared" si="6"/>
        <v>0.20122399999999999</v>
      </c>
      <c r="F66">
        <f t="shared" si="7"/>
        <v>0.48020095359999998</v>
      </c>
      <c r="G66" s="6">
        <f t="shared" si="8"/>
        <v>1.3526787425352112E-3</v>
      </c>
      <c r="H66">
        <f>G66*35.5*1000</f>
        <v>48.020095359999999</v>
      </c>
    </row>
    <row r="67" spans="1:8">
      <c r="A67">
        <f t="shared" si="5"/>
        <v>1.05</v>
      </c>
      <c r="B67">
        <v>42</v>
      </c>
      <c r="C67">
        <v>22</v>
      </c>
      <c r="D67">
        <v>0.209956</v>
      </c>
      <c r="E67">
        <f t="shared" si="6"/>
        <v>0.209956</v>
      </c>
      <c r="F67">
        <f t="shared" si="7"/>
        <v>0.50103899839999999</v>
      </c>
      <c r="G67" s="6">
        <f t="shared" si="8"/>
        <v>1.4113774602816901E-3</v>
      </c>
      <c r="H67">
        <f t="shared" ref="H67:H68" si="10">G67*35.5*1000</f>
        <v>50.103899839999997</v>
      </c>
    </row>
    <row r="68" spans="1:8">
      <c r="A68">
        <f t="shared" si="5"/>
        <v>1.1000000000000001</v>
      </c>
      <c r="B68">
        <v>44</v>
      </c>
      <c r="C68">
        <v>23</v>
      </c>
      <c r="D68">
        <v>0.242563</v>
      </c>
      <c r="E68">
        <f t="shared" si="6"/>
        <v>0.242563</v>
      </c>
      <c r="F68">
        <f t="shared" si="7"/>
        <v>0.57885234320000001</v>
      </c>
      <c r="G68" s="6">
        <f t="shared" si="8"/>
        <v>1.6305699808450704E-3</v>
      </c>
      <c r="H68">
        <f t="shared" si="10"/>
        <v>57.885234320000002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550D0-EA3B-4D19-8A41-6C1FEFBE7026}">
  <dimension ref="A1:L68"/>
  <sheetViews>
    <sheetView topLeftCell="A43" workbookViewId="0">
      <selection activeCell="D45" sqref="D45"/>
    </sheetView>
  </sheetViews>
  <sheetFormatPr defaultRowHeight="14.5"/>
  <cols>
    <col min="4" max="4" width="18.90625" customWidth="1"/>
    <col min="5" max="5" width="15.7265625" customWidth="1"/>
    <col min="6" max="6" width="17.36328125" style="6" customWidth="1"/>
    <col min="7" max="7" width="13.453125" customWidth="1"/>
    <col min="8" max="8" width="14.1796875" customWidth="1"/>
    <col min="9" max="9" width="17.453125" customWidth="1"/>
    <col min="12" max="12" width="15.453125" customWidth="1"/>
  </cols>
  <sheetData>
    <row r="1" spans="1:10">
      <c r="A1" t="s">
        <v>34</v>
      </c>
      <c r="H1" t="s">
        <v>20</v>
      </c>
      <c r="I1" t="s">
        <v>21</v>
      </c>
    </row>
    <row r="2" spans="1:10">
      <c r="A2" t="s">
        <v>5</v>
      </c>
      <c r="B2" t="s">
        <v>0</v>
      </c>
      <c r="C2" t="s">
        <v>1</v>
      </c>
      <c r="D2" s="6"/>
      <c r="E2" t="s">
        <v>4</v>
      </c>
      <c r="F2" t="s">
        <v>0</v>
      </c>
      <c r="G2" t="s">
        <v>1</v>
      </c>
      <c r="H2">
        <v>0.1</v>
      </c>
      <c r="I2">
        <v>0</v>
      </c>
    </row>
    <row r="3" spans="1:10">
      <c r="B3" s="4">
        <v>0</v>
      </c>
      <c r="C3">
        <v>0</v>
      </c>
      <c r="D3" s="6"/>
      <c r="F3" s="4">
        <v>0</v>
      </c>
      <c r="G3">
        <v>0</v>
      </c>
    </row>
    <row r="4" spans="1:10">
      <c r="B4" s="4">
        <v>1.2203870000000001</v>
      </c>
      <c r="C4">
        <v>5</v>
      </c>
      <c r="D4" s="6"/>
      <c r="F4" s="3">
        <v>0.30591800000000002</v>
      </c>
      <c r="G4">
        <v>1</v>
      </c>
    </row>
    <row r="5" spans="1:10">
      <c r="B5" s="4">
        <v>2.4311120000000002</v>
      </c>
      <c r="C5">
        <v>10</v>
      </c>
      <c r="D5" s="6"/>
      <c r="F5" s="3">
        <v>1.6983459999999999</v>
      </c>
      <c r="G5">
        <v>5</v>
      </c>
    </row>
    <row r="6" spans="1:10">
      <c r="B6" s="4">
        <v>3.7337539999999998</v>
      </c>
      <c r="C6">
        <v>15</v>
      </c>
      <c r="D6" s="6"/>
      <c r="F6" s="3">
        <v>3.6479370000000002</v>
      </c>
      <c r="G6">
        <v>10</v>
      </c>
    </row>
    <row r="7" spans="1:10">
      <c r="B7" s="4">
        <v>6.3590109999999997</v>
      </c>
      <c r="C7">
        <v>25</v>
      </c>
      <c r="D7" s="6"/>
      <c r="F7" s="3">
        <v>7.8052489999999999</v>
      </c>
      <c r="G7">
        <v>20</v>
      </c>
    </row>
    <row r="8" spans="1:10">
      <c r="B8" s="3"/>
      <c r="D8" s="6"/>
      <c r="F8" s="3">
        <v>42.074738000000004</v>
      </c>
      <c r="G8">
        <v>100</v>
      </c>
    </row>
    <row r="12" spans="1:10">
      <c r="D12" t="s">
        <v>5</v>
      </c>
    </row>
    <row r="13" spans="1:10">
      <c r="A13" t="s">
        <v>10</v>
      </c>
      <c r="B13" t="s">
        <v>18</v>
      </c>
      <c r="C13" t="s">
        <v>17</v>
      </c>
      <c r="D13" t="s">
        <v>0</v>
      </c>
      <c r="E13" t="s">
        <v>22</v>
      </c>
      <c r="F13" t="s">
        <v>3</v>
      </c>
      <c r="G13" s="6" t="s">
        <v>16</v>
      </c>
      <c r="H13" s="1" t="s">
        <v>13</v>
      </c>
      <c r="J13" s="2"/>
    </row>
    <row r="14" spans="1:10">
      <c r="A14">
        <f>B14/40</f>
        <v>0</v>
      </c>
      <c r="B14">
        <v>0</v>
      </c>
      <c r="C14">
        <v>0</v>
      </c>
      <c r="D14">
        <v>0</v>
      </c>
      <c r="E14">
        <f>D14-$H$2</f>
        <v>-0.1</v>
      </c>
      <c r="F14">
        <f>3.4695*D14</f>
        <v>0</v>
      </c>
      <c r="G14" s="6">
        <f>F14*20/96/1000</f>
        <v>0</v>
      </c>
      <c r="H14">
        <f>G14*96*1000</f>
        <v>0</v>
      </c>
    </row>
    <row r="15" spans="1:10">
      <c r="A15">
        <f>B15/40</f>
        <v>0</v>
      </c>
      <c r="B15">
        <v>0</v>
      </c>
      <c r="C15">
        <v>1</v>
      </c>
      <c r="D15">
        <v>132.308087</v>
      </c>
      <c r="E15">
        <f t="shared" ref="E15:E37" si="0">D15-$H$2</f>
        <v>132.20808700000001</v>
      </c>
      <c r="F15">
        <f>3.9722*E15</f>
        <v>525.15696318139999</v>
      </c>
      <c r="G15" s="6">
        <f>F15*100/96/1000</f>
        <v>0.54703850331395831</v>
      </c>
      <c r="H15">
        <f t="shared" ref="H15:H37" si="1">G15*96*1000</f>
        <v>52515.696318139999</v>
      </c>
    </row>
    <row r="16" spans="1:10">
      <c r="A16">
        <f t="shared" ref="A16:A37" si="2">B16/40</f>
        <v>0.05</v>
      </c>
      <c r="B16">
        <v>2</v>
      </c>
      <c r="C16">
        <v>2</v>
      </c>
      <c r="D16">
        <v>123.303995</v>
      </c>
      <c r="E16">
        <f t="shared" si="0"/>
        <v>123.20399500000001</v>
      </c>
      <c r="F16">
        <f t="shared" ref="F16:F37" si="3">3.9722*E16</f>
        <v>489.39090893900004</v>
      </c>
      <c r="G16" s="6">
        <f t="shared" ref="G16:G37" si="4">F16*100/96/1000</f>
        <v>0.50978219681145842</v>
      </c>
      <c r="H16">
        <f t="shared" si="1"/>
        <v>48939.090893900007</v>
      </c>
    </row>
    <row r="17" spans="1:9">
      <c r="A17">
        <f t="shared" si="2"/>
        <v>0.1</v>
      </c>
      <c r="B17">
        <v>4</v>
      </c>
      <c r="C17">
        <v>3</v>
      </c>
      <c r="D17">
        <v>137.27032500000001</v>
      </c>
      <c r="E17">
        <f t="shared" si="0"/>
        <v>137.17032500000002</v>
      </c>
      <c r="F17">
        <f t="shared" si="3"/>
        <v>544.86796496500006</v>
      </c>
      <c r="G17" s="6">
        <f t="shared" si="4"/>
        <v>0.56757079683854172</v>
      </c>
      <c r="H17">
        <f t="shared" si="1"/>
        <v>54486.796496500006</v>
      </c>
    </row>
    <row r="18" spans="1:9">
      <c r="A18">
        <f t="shared" si="2"/>
        <v>0.15</v>
      </c>
      <c r="B18">
        <v>6</v>
      </c>
      <c r="C18">
        <v>4</v>
      </c>
      <c r="D18">
        <v>121.479685</v>
      </c>
      <c r="E18">
        <f t="shared" si="0"/>
        <v>121.37968500000001</v>
      </c>
      <c r="F18">
        <f t="shared" si="3"/>
        <v>482.14438475700001</v>
      </c>
      <c r="G18" s="6">
        <f t="shared" si="4"/>
        <v>0.502233734121875</v>
      </c>
      <c r="H18">
        <f t="shared" si="1"/>
        <v>48214.438475700001</v>
      </c>
    </row>
    <row r="19" spans="1:9">
      <c r="A19">
        <f t="shared" si="2"/>
        <v>0.2</v>
      </c>
      <c r="B19">
        <v>8</v>
      </c>
      <c r="C19">
        <v>5</v>
      </c>
      <c r="D19">
        <v>111.90052</v>
      </c>
      <c r="E19">
        <f t="shared" si="0"/>
        <v>111.80052000000001</v>
      </c>
      <c r="F19">
        <f t="shared" si="3"/>
        <v>444.09402554400003</v>
      </c>
      <c r="G19" s="6">
        <f t="shared" si="4"/>
        <v>0.46259794327500003</v>
      </c>
      <c r="H19">
        <f t="shared" si="1"/>
        <v>44409.402554400003</v>
      </c>
    </row>
    <row r="20" spans="1:9">
      <c r="A20">
        <f t="shared" si="2"/>
        <v>0.25</v>
      </c>
      <c r="B20">
        <v>10</v>
      </c>
      <c r="C20">
        <v>6</v>
      </c>
      <c r="D20">
        <v>127.29295999999999</v>
      </c>
      <c r="E20">
        <f t="shared" si="0"/>
        <v>127.19296</v>
      </c>
      <c r="F20">
        <f t="shared" si="3"/>
        <v>505.235875712</v>
      </c>
      <c r="G20" s="6">
        <f t="shared" si="4"/>
        <v>0.5262873705333333</v>
      </c>
      <c r="H20">
        <f t="shared" si="1"/>
        <v>50523.587571199998</v>
      </c>
    </row>
    <row r="21" spans="1:9">
      <c r="A21">
        <f t="shared" si="2"/>
        <v>0.3</v>
      </c>
      <c r="B21">
        <v>12</v>
      </c>
      <c r="C21">
        <v>7</v>
      </c>
      <c r="D21">
        <v>108.911134</v>
      </c>
      <c r="E21">
        <f t="shared" si="0"/>
        <v>108.81113400000001</v>
      </c>
      <c r="F21">
        <f t="shared" si="3"/>
        <v>432.21958647480005</v>
      </c>
      <c r="G21" s="6">
        <f t="shared" si="4"/>
        <v>0.45022873591125001</v>
      </c>
      <c r="H21">
        <f t="shared" si="1"/>
        <v>43221.958647480002</v>
      </c>
    </row>
    <row r="22" spans="1:9">
      <c r="A22">
        <f t="shared" si="2"/>
        <v>0.35</v>
      </c>
      <c r="B22">
        <v>14</v>
      </c>
      <c r="C22">
        <v>8</v>
      </c>
      <c r="D22">
        <v>111.48369599999999</v>
      </c>
      <c r="E22">
        <f t="shared" si="0"/>
        <v>111.383696</v>
      </c>
      <c r="F22">
        <f t="shared" si="3"/>
        <v>442.43831725119998</v>
      </c>
      <c r="G22" s="6">
        <f t="shared" si="4"/>
        <v>0.46087324713666661</v>
      </c>
      <c r="H22">
        <f t="shared" si="1"/>
        <v>44243.831725119999</v>
      </c>
    </row>
    <row r="23" spans="1:9">
      <c r="A23">
        <f t="shared" si="2"/>
        <v>0.4</v>
      </c>
      <c r="B23">
        <v>16</v>
      </c>
      <c r="C23">
        <v>9</v>
      </c>
      <c r="D23">
        <v>102.024263</v>
      </c>
      <c r="E23">
        <f t="shared" si="0"/>
        <v>101.92426300000001</v>
      </c>
      <c r="F23">
        <f t="shared" si="3"/>
        <v>404.86355748860001</v>
      </c>
      <c r="G23" s="6">
        <f t="shared" si="4"/>
        <v>0.42173287238395829</v>
      </c>
      <c r="H23">
        <f t="shared" si="1"/>
        <v>40486.355748859991</v>
      </c>
    </row>
    <row r="24" spans="1:9">
      <c r="A24">
        <f t="shared" si="2"/>
        <v>0.45</v>
      </c>
      <c r="B24">
        <v>18</v>
      </c>
      <c r="C24">
        <v>10</v>
      </c>
      <c r="D24">
        <v>96.790741999999995</v>
      </c>
      <c r="E24">
        <f t="shared" si="0"/>
        <v>96.690742</v>
      </c>
      <c r="F24">
        <f t="shared" si="3"/>
        <v>384.07496537240002</v>
      </c>
      <c r="G24" s="6">
        <f t="shared" si="4"/>
        <v>0.40007808892958335</v>
      </c>
      <c r="H24">
        <f t="shared" si="1"/>
        <v>38407.496537239997</v>
      </c>
    </row>
    <row r="25" spans="1:9">
      <c r="A25">
        <f t="shared" si="2"/>
        <v>0.5</v>
      </c>
      <c r="B25">
        <v>20</v>
      </c>
      <c r="C25">
        <v>11</v>
      </c>
      <c r="D25">
        <v>88.001103999999998</v>
      </c>
      <c r="E25">
        <f t="shared" si="0"/>
        <v>87.901104000000004</v>
      </c>
      <c r="F25">
        <f t="shared" si="3"/>
        <v>349.16076530880002</v>
      </c>
      <c r="G25" s="6">
        <f t="shared" si="4"/>
        <v>0.36370913053000004</v>
      </c>
      <c r="H25">
        <f t="shared" si="1"/>
        <v>34916.076530880004</v>
      </c>
    </row>
    <row r="26" spans="1:9">
      <c r="A26">
        <f t="shared" si="2"/>
        <v>0.55000000000000004</v>
      </c>
      <c r="B26">
        <v>22</v>
      </c>
      <c r="C26">
        <v>12</v>
      </c>
      <c r="D26">
        <v>86.260026999999994</v>
      </c>
      <c r="E26">
        <f t="shared" si="0"/>
        <v>86.160026999999999</v>
      </c>
      <c r="F26">
        <f t="shared" si="3"/>
        <v>342.24485924940001</v>
      </c>
      <c r="G26" s="6">
        <f t="shared" si="4"/>
        <v>0.35650506171812502</v>
      </c>
      <c r="H26">
        <f t="shared" si="1"/>
        <v>34224.485924939996</v>
      </c>
      <c r="I26" s="2"/>
    </row>
    <row r="27" spans="1:9">
      <c r="A27">
        <f t="shared" si="2"/>
        <v>0.6</v>
      </c>
      <c r="B27">
        <v>24</v>
      </c>
      <c r="C27">
        <v>13</v>
      </c>
      <c r="D27">
        <v>81.363376000000002</v>
      </c>
      <c r="E27">
        <f t="shared" si="0"/>
        <v>81.263376000000008</v>
      </c>
      <c r="F27">
        <f t="shared" si="3"/>
        <v>322.79438214720005</v>
      </c>
      <c r="G27" s="6">
        <f t="shared" si="4"/>
        <v>0.33624414807000003</v>
      </c>
      <c r="H27">
        <f t="shared" si="1"/>
        <v>32279.438214720001</v>
      </c>
      <c r="I27" s="2"/>
    </row>
    <row r="28" spans="1:9">
      <c r="A28">
        <f t="shared" si="2"/>
        <v>0.65</v>
      </c>
      <c r="B28">
        <v>26</v>
      </c>
      <c r="C28">
        <v>14</v>
      </c>
      <c r="D28">
        <v>79.344596999999993</v>
      </c>
      <c r="E28">
        <f t="shared" si="0"/>
        <v>79.244596999999999</v>
      </c>
      <c r="F28">
        <f t="shared" si="3"/>
        <v>314.77538820339998</v>
      </c>
      <c r="G28" s="6">
        <f t="shared" si="4"/>
        <v>0.32789102937854164</v>
      </c>
      <c r="H28">
        <f t="shared" si="1"/>
        <v>31477.538820339996</v>
      </c>
    </row>
    <row r="29" spans="1:9">
      <c r="A29">
        <f t="shared" si="2"/>
        <v>0.7</v>
      </c>
      <c r="B29">
        <v>28</v>
      </c>
      <c r="C29">
        <v>15</v>
      </c>
      <c r="D29">
        <v>75.503069999999994</v>
      </c>
      <c r="E29">
        <f t="shared" si="0"/>
        <v>75.40307</v>
      </c>
      <c r="F29">
        <f t="shared" si="3"/>
        <v>299.51607465400002</v>
      </c>
      <c r="G29" s="6">
        <f t="shared" si="4"/>
        <v>0.31199591109791669</v>
      </c>
      <c r="H29">
        <f t="shared" si="1"/>
        <v>29951.607465400004</v>
      </c>
    </row>
    <row r="30" spans="1:9">
      <c r="A30">
        <f t="shared" si="2"/>
        <v>0.75</v>
      </c>
      <c r="B30">
        <v>30</v>
      </c>
      <c r="C30">
        <v>16</v>
      </c>
      <c r="D30">
        <v>74.658655999999993</v>
      </c>
      <c r="E30">
        <f t="shared" si="0"/>
        <v>74.558655999999999</v>
      </c>
      <c r="F30">
        <f t="shared" si="3"/>
        <v>296.16189336319997</v>
      </c>
      <c r="G30" s="6">
        <f t="shared" si="4"/>
        <v>0.30850197225333331</v>
      </c>
      <c r="H30">
        <f t="shared" si="1"/>
        <v>29616.18933632</v>
      </c>
    </row>
    <row r="31" spans="1:9">
      <c r="A31">
        <f t="shared" si="2"/>
        <v>0.8</v>
      </c>
      <c r="B31">
        <v>32</v>
      </c>
      <c r="C31">
        <v>17</v>
      </c>
      <c r="D31">
        <v>66.703755999999998</v>
      </c>
      <c r="E31">
        <f t="shared" si="0"/>
        <v>66.603756000000004</v>
      </c>
      <c r="F31">
        <f t="shared" si="3"/>
        <v>264.56343958320002</v>
      </c>
      <c r="G31" s="6">
        <f t="shared" si="4"/>
        <v>0.27558691623250003</v>
      </c>
      <c r="H31">
        <f t="shared" si="1"/>
        <v>26456.343958320005</v>
      </c>
    </row>
    <row r="32" spans="1:9">
      <c r="A32">
        <f t="shared" si="2"/>
        <v>0.85</v>
      </c>
      <c r="B32">
        <v>34</v>
      </c>
      <c r="C32">
        <v>18</v>
      </c>
      <c r="D32">
        <v>69.520236999999995</v>
      </c>
      <c r="E32">
        <f t="shared" si="0"/>
        <v>69.420237</v>
      </c>
      <c r="F32">
        <f t="shared" si="3"/>
        <v>275.75106541140002</v>
      </c>
      <c r="G32" s="6">
        <f t="shared" si="4"/>
        <v>0.287240693136875</v>
      </c>
      <c r="H32">
        <f t="shared" si="1"/>
        <v>27575.106541140001</v>
      </c>
    </row>
    <row r="33" spans="1:8">
      <c r="A33">
        <f t="shared" si="2"/>
        <v>0.9</v>
      </c>
      <c r="B33">
        <v>36</v>
      </c>
      <c r="C33">
        <v>19</v>
      </c>
      <c r="D33">
        <v>67.081847999999994</v>
      </c>
      <c r="E33">
        <f t="shared" si="0"/>
        <v>66.981847999999999</v>
      </c>
      <c r="F33">
        <f t="shared" si="3"/>
        <v>266.06529662560001</v>
      </c>
      <c r="G33" s="6">
        <f t="shared" si="4"/>
        <v>0.27715135065166668</v>
      </c>
      <c r="H33">
        <f t="shared" si="1"/>
        <v>26606.529662559999</v>
      </c>
    </row>
    <row r="34" spans="1:8">
      <c r="A34">
        <f t="shared" si="2"/>
        <v>0.95</v>
      </c>
      <c r="B34">
        <v>38</v>
      </c>
      <c r="C34">
        <v>20</v>
      </c>
      <c r="D34">
        <v>65.676828999999998</v>
      </c>
      <c r="E34">
        <f t="shared" si="0"/>
        <v>65.576829000000004</v>
      </c>
      <c r="F34">
        <f t="shared" si="3"/>
        <v>260.4842801538</v>
      </c>
      <c r="G34" s="6">
        <f t="shared" si="4"/>
        <v>0.27133779182687501</v>
      </c>
      <c r="H34">
        <f t="shared" si="1"/>
        <v>26048.428015379999</v>
      </c>
    </row>
    <row r="35" spans="1:8">
      <c r="A35">
        <f t="shared" si="2"/>
        <v>1</v>
      </c>
      <c r="B35">
        <v>40</v>
      </c>
      <c r="C35">
        <v>21</v>
      </c>
      <c r="D35">
        <v>69.86694</v>
      </c>
      <c r="E35">
        <f t="shared" si="0"/>
        <v>69.766940000000005</v>
      </c>
      <c r="F35">
        <f t="shared" si="3"/>
        <v>277.12823906800003</v>
      </c>
      <c r="G35" s="6">
        <f t="shared" si="4"/>
        <v>0.28867524902916669</v>
      </c>
      <c r="H35">
        <f t="shared" si="1"/>
        <v>27712.823906800004</v>
      </c>
    </row>
    <row r="36" spans="1:8">
      <c r="A36">
        <f t="shared" si="2"/>
        <v>1.05</v>
      </c>
      <c r="B36">
        <v>42</v>
      </c>
      <c r="C36">
        <v>22</v>
      </c>
      <c r="D36">
        <v>67.990661000000003</v>
      </c>
      <c r="E36">
        <f t="shared" si="0"/>
        <v>67.890661000000009</v>
      </c>
      <c r="F36">
        <f t="shared" si="3"/>
        <v>269.67528362420001</v>
      </c>
      <c r="G36" s="6">
        <f t="shared" si="4"/>
        <v>0.28091175377520833</v>
      </c>
      <c r="H36">
        <f t="shared" si="1"/>
        <v>26967.528362419998</v>
      </c>
    </row>
    <row r="37" spans="1:8">
      <c r="A37">
        <f t="shared" si="2"/>
        <v>1.1000000000000001</v>
      </c>
      <c r="B37">
        <v>44</v>
      </c>
      <c r="C37">
        <v>23</v>
      </c>
      <c r="D37">
        <v>68.998093999999995</v>
      </c>
      <c r="E37">
        <f t="shared" si="0"/>
        <v>68.898094</v>
      </c>
      <c r="F37">
        <f t="shared" si="3"/>
        <v>273.67700898679999</v>
      </c>
      <c r="G37" s="6">
        <f t="shared" si="4"/>
        <v>0.2850802176945833</v>
      </c>
      <c r="H37">
        <f t="shared" si="1"/>
        <v>27367.700898679999</v>
      </c>
    </row>
    <row r="43" spans="1:8">
      <c r="D43" t="s">
        <v>4</v>
      </c>
      <c r="G43" s="2"/>
    </row>
    <row r="44" spans="1:8">
      <c r="A44" t="s">
        <v>10</v>
      </c>
      <c r="B44" t="s">
        <v>18</v>
      </c>
      <c r="C44" t="s">
        <v>17</v>
      </c>
      <c r="D44" t="s">
        <v>0</v>
      </c>
      <c r="E44" t="s">
        <v>22</v>
      </c>
      <c r="F44" t="s">
        <v>3</v>
      </c>
      <c r="G44" s="6" t="s">
        <v>16</v>
      </c>
    </row>
    <row r="45" spans="1:8">
      <c r="A45">
        <f>B45/40</f>
        <v>0</v>
      </c>
      <c r="B45">
        <v>0</v>
      </c>
      <c r="C45">
        <v>0</v>
      </c>
      <c r="D45">
        <v>66.809707000000003</v>
      </c>
      <c r="E45" s="1">
        <f>D45-$I$2</f>
        <v>66.809707000000003</v>
      </c>
      <c r="F45">
        <f>2.3864*E45</f>
        <v>159.43468478480003</v>
      </c>
      <c r="G45" s="6">
        <f>F45*100/35.5/1000</f>
        <v>0.44911178812619729</v>
      </c>
      <c r="H45">
        <f>G45*35.5*1000</f>
        <v>15943.468478480003</v>
      </c>
    </row>
    <row r="46" spans="1:8">
      <c r="A46">
        <f t="shared" ref="A46:A68" si="5">B46/40</f>
        <v>0</v>
      </c>
      <c r="B46">
        <v>0</v>
      </c>
      <c r="C46">
        <v>1</v>
      </c>
      <c r="D46">
        <v>2.2244869999999999</v>
      </c>
      <c r="E46">
        <f t="shared" ref="E46:E68" si="6">D46-$I$2</f>
        <v>2.2244869999999999</v>
      </c>
      <c r="F46">
        <f t="shared" ref="F46:F68" si="7">2.3864*E46</f>
        <v>5.3085157768000002</v>
      </c>
      <c r="G46" s="6">
        <f t="shared" ref="G46:G68" si="8">F46*100/35.5/1000</f>
        <v>1.4953565568450705E-2</v>
      </c>
      <c r="H46">
        <f t="shared" ref="H46:H65" si="9">G46*35.5*1000</f>
        <v>530.85157767999999</v>
      </c>
    </row>
    <row r="47" spans="1:8">
      <c r="A47">
        <f t="shared" si="5"/>
        <v>0.05</v>
      </c>
      <c r="B47">
        <v>2</v>
      </c>
      <c r="C47">
        <v>2</v>
      </c>
      <c r="D47">
        <v>2.02393</v>
      </c>
      <c r="E47">
        <f t="shared" si="6"/>
        <v>2.02393</v>
      </c>
      <c r="F47">
        <f t="shared" si="7"/>
        <v>4.8299065519999997</v>
      </c>
      <c r="G47" s="6">
        <f t="shared" si="8"/>
        <v>1.3605370569014084E-2</v>
      </c>
      <c r="H47">
        <f t="shared" si="9"/>
        <v>482.99065519999999</v>
      </c>
    </row>
    <row r="48" spans="1:8">
      <c r="A48">
        <f t="shared" si="5"/>
        <v>0.1</v>
      </c>
      <c r="B48">
        <v>4</v>
      </c>
      <c r="C48">
        <v>3</v>
      </c>
      <c r="D48">
        <v>2.2523789999999999</v>
      </c>
      <c r="E48">
        <f t="shared" si="6"/>
        <v>2.2523789999999999</v>
      </c>
      <c r="F48">
        <f t="shared" si="7"/>
        <v>5.3750772456</v>
      </c>
      <c r="G48" s="6">
        <f t="shared" si="8"/>
        <v>1.5141062663661973E-2</v>
      </c>
      <c r="H48">
        <f t="shared" si="9"/>
        <v>537.50772456000004</v>
      </c>
    </row>
    <row r="49" spans="1:12">
      <c r="A49">
        <f t="shared" si="5"/>
        <v>0.15</v>
      </c>
      <c r="B49">
        <v>6</v>
      </c>
      <c r="C49">
        <v>4</v>
      </c>
      <c r="D49">
        <v>1.9204749999999999</v>
      </c>
      <c r="E49">
        <f t="shared" si="6"/>
        <v>1.9204749999999999</v>
      </c>
      <c r="F49">
        <f t="shared" si="7"/>
        <v>4.5830215399999998</v>
      </c>
      <c r="G49" s="6">
        <f t="shared" si="8"/>
        <v>1.2909919830985914E-2</v>
      </c>
      <c r="H49">
        <f t="shared" si="9"/>
        <v>458.30215399999997</v>
      </c>
    </row>
    <row r="50" spans="1:12">
      <c r="A50">
        <f t="shared" si="5"/>
        <v>0.2</v>
      </c>
      <c r="B50">
        <v>8</v>
      </c>
      <c r="C50">
        <v>5</v>
      </c>
      <c r="D50">
        <v>1.7482409999999999</v>
      </c>
      <c r="E50">
        <f t="shared" si="6"/>
        <v>1.7482409999999999</v>
      </c>
      <c r="F50">
        <f t="shared" si="7"/>
        <v>4.1720023224</v>
      </c>
      <c r="G50" s="6">
        <f t="shared" si="8"/>
        <v>1.1752119218028169E-2</v>
      </c>
      <c r="H50">
        <f t="shared" si="9"/>
        <v>417.20023223999999</v>
      </c>
    </row>
    <row r="51" spans="1:12">
      <c r="A51">
        <f t="shared" si="5"/>
        <v>0.25</v>
      </c>
      <c r="B51">
        <v>10</v>
      </c>
      <c r="C51">
        <v>6</v>
      </c>
      <c r="D51">
        <v>2.0910700000000002</v>
      </c>
      <c r="E51">
        <f t="shared" si="6"/>
        <v>2.0910700000000002</v>
      </c>
      <c r="F51">
        <f t="shared" si="7"/>
        <v>4.9901294480000002</v>
      </c>
      <c r="G51" s="6">
        <f t="shared" si="8"/>
        <v>1.4056702670422534E-2</v>
      </c>
      <c r="H51">
        <f t="shared" si="9"/>
        <v>499.01294479999996</v>
      </c>
    </row>
    <row r="52" spans="1:12">
      <c r="A52">
        <f t="shared" si="5"/>
        <v>0.3</v>
      </c>
      <c r="B52">
        <v>12</v>
      </c>
      <c r="C52">
        <v>7</v>
      </c>
      <c r="D52">
        <v>1.851559</v>
      </c>
      <c r="E52">
        <f t="shared" si="6"/>
        <v>1.851559</v>
      </c>
      <c r="F52">
        <f t="shared" si="7"/>
        <v>4.4185603976000003</v>
      </c>
      <c r="G52" s="6">
        <f t="shared" si="8"/>
        <v>1.2446649007323944E-2</v>
      </c>
      <c r="H52">
        <f t="shared" si="9"/>
        <v>441.85603976000004</v>
      </c>
    </row>
    <row r="53" spans="1:12">
      <c r="A53">
        <f t="shared" si="5"/>
        <v>0.35</v>
      </c>
      <c r="B53">
        <v>14</v>
      </c>
      <c r="C53">
        <v>8</v>
      </c>
      <c r="D53">
        <v>2.0489459999999999</v>
      </c>
      <c r="E53">
        <f t="shared" si="6"/>
        <v>2.0489459999999999</v>
      </c>
      <c r="F53">
        <f t="shared" si="7"/>
        <v>4.8896047343999998</v>
      </c>
      <c r="G53" s="6">
        <f t="shared" si="8"/>
        <v>1.3773534463098589E-2</v>
      </c>
      <c r="H53">
        <f t="shared" si="9"/>
        <v>488.96047343999993</v>
      </c>
    </row>
    <row r="54" spans="1:12">
      <c r="A54">
        <f t="shared" si="5"/>
        <v>0.4</v>
      </c>
      <c r="B54">
        <v>16</v>
      </c>
      <c r="C54">
        <v>9</v>
      </c>
      <c r="D54">
        <v>1.97218</v>
      </c>
      <c r="E54">
        <f t="shared" si="6"/>
        <v>1.97218</v>
      </c>
      <c r="F54">
        <f t="shared" si="7"/>
        <v>4.7064103520000007</v>
      </c>
      <c r="G54" s="6">
        <f t="shared" si="8"/>
        <v>1.3257493949295776E-2</v>
      </c>
      <c r="H54">
        <f t="shared" si="9"/>
        <v>470.64103520000003</v>
      </c>
    </row>
    <row r="55" spans="1:12">
      <c r="A55">
        <f t="shared" si="5"/>
        <v>0.45</v>
      </c>
      <c r="B55">
        <v>18</v>
      </c>
      <c r="C55">
        <v>10</v>
      </c>
      <c r="D55">
        <v>1.9675480000000001</v>
      </c>
      <c r="E55">
        <f t="shared" si="6"/>
        <v>1.9675480000000001</v>
      </c>
      <c r="F55">
        <f t="shared" si="7"/>
        <v>4.6953565472000003</v>
      </c>
      <c r="G55" s="6">
        <f t="shared" si="8"/>
        <v>1.3226356470985917E-2</v>
      </c>
      <c r="H55">
        <f t="shared" si="9"/>
        <v>469.53565472000003</v>
      </c>
    </row>
    <row r="56" spans="1:12">
      <c r="A56">
        <f t="shared" si="5"/>
        <v>0.5</v>
      </c>
      <c r="B56">
        <v>20</v>
      </c>
      <c r="C56">
        <v>11</v>
      </c>
      <c r="D56">
        <v>1.8562240000000001</v>
      </c>
      <c r="E56">
        <f t="shared" si="6"/>
        <v>1.8562240000000001</v>
      </c>
      <c r="F56">
        <f t="shared" si="7"/>
        <v>4.4296929536</v>
      </c>
      <c r="G56" s="6">
        <f t="shared" si="8"/>
        <v>1.2478008319999999E-2</v>
      </c>
      <c r="H56">
        <f t="shared" si="9"/>
        <v>442.96929535999993</v>
      </c>
    </row>
    <row r="57" spans="1:12">
      <c r="A57">
        <f t="shared" si="5"/>
        <v>0.55000000000000004</v>
      </c>
      <c r="B57">
        <v>22</v>
      </c>
      <c r="C57">
        <v>12</v>
      </c>
      <c r="D57">
        <v>1.892061</v>
      </c>
      <c r="E57">
        <f t="shared" si="6"/>
        <v>1.892061</v>
      </c>
      <c r="F57">
        <f t="shared" si="7"/>
        <v>4.5152143703999998</v>
      </c>
      <c r="G57" s="6">
        <f t="shared" si="8"/>
        <v>1.271891371943662E-2</v>
      </c>
      <c r="H57">
        <f t="shared" si="9"/>
        <v>451.52143704000002</v>
      </c>
    </row>
    <row r="58" spans="1:12">
      <c r="A58">
        <f t="shared" si="5"/>
        <v>0.6</v>
      </c>
      <c r="B58">
        <v>24</v>
      </c>
      <c r="C58">
        <v>13</v>
      </c>
      <c r="D58">
        <v>1.826972</v>
      </c>
      <c r="E58">
        <f t="shared" si="6"/>
        <v>1.826972</v>
      </c>
      <c r="F58">
        <f t="shared" si="7"/>
        <v>4.3598859808000006</v>
      </c>
      <c r="G58" s="6">
        <f t="shared" si="8"/>
        <v>1.228136896E-2</v>
      </c>
      <c r="H58">
        <f t="shared" si="9"/>
        <v>435.98859808000003</v>
      </c>
    </row>
    <row r="59" spans="1:12">
      <c r="A59">
        <f t="shared" si="5"/>
        <v>0.65</v>
      </c>
      <c r="B59">
        <v>26</v>
      </c>
      <c r="C59">
        <v>14</v>
      </c>
      <c r="D59">
        <v>1.8254649999999999</v>
      </c>
      <c r="E59">
        <f t="shared" si="6"/>
        <v>1.8254649999999999</v>
      </c>
      <c r="F59">
        <f t="shared" si="7"/>
        <v>4.3562896760000003</v>
      </c>
      <c r="G59" s="6">
        <f t="shared" si="8"/>
        <v>1.2271238523943661E-2</v>
      </c>
      <c r="H59">
        <f t="shared" si="9"/>
        <v>435.62896759999995</v>
      </c>
    </row>
    <row r="60" spans="1:12">
      <c r="A60">
        <f t="shared" si="5"/>
        <v>0.7</v>
      </c>
      <c r="B60">
        <v>28</v>
      </c>
      <c r="C60">
        <v>15</v>
      </c>
      <c r="D60">
        <v>1.768276</v>
      </c>
      <c r="E60">
        <f t="shared" si="6"/>
        <v>1.768276</v>
      </c>
      <c r="F60">
        <f t="shared" si="7"/>
        <v>4.2198138464000001</v>
      </c>
      <c r="G60" s="6">
        <f t="shared" si="8"/>
        <v>1.1886799567323945E-2</v>
      </c>
      <c r="H60">
        <f t="shared" si="9"/>
        <v>421.98138463999999</v>
      </c>
    </row>
    <row r="61" spans="1:12">
      <c r="A61">
        <f t="shared" si="5"/>
        <v>0.75</v>
      </c>
      <c r="B61">
        <v>30</v>
      </c>
      <c r="C61">
        <v>16</v>
      </c>
      <c r="D61">
        <v>1.778292</v>
      </c>
      <c r="E61">
        <f t="shared" si="6"/>
        <v>1.778292</v>
      </c>
      <c r="F61">
        <f t="shared" si="7"/>
        <v>4.2437160287999998</v>
      </c>
      <c r="G61" s="6">
        <f t="shared" si="8"/>
        <v>1.1954129658591547E-2</v>
      </c>
      <c r="H61">
        <f t="shared" si="9"/>
        <v>424.3716028799999</v>
      </c>
    </row>
    <row r="62" spans="1:12">
      <c r="A62">
        <f t="shared" si="5"/>
        <v>0.8</v>
      </c>
      <c r="B62">
        <v>32</v>
      </c>
      <c r="C62">
        <v>17</v>
      </c>
      <c r="D62">
        <v>1.5865400000000001</v>
      </c>
      <c r="E62">
        <f t="shared" si="6"/>
        <v>1.5865400000000001</v>
      </c>
      <c r="F62">
        <f t="shared" si="7"/>
        <v>3.7861190560000004</v>
      </c>
      <c r="G62" s="6">
        <f t="shared" si="8"/>
        <v>1.0665124101408453E-2</v>
      </c>
      <c r="H62">
        <f t="shared" si="9"/>
        <v>378.61190560000006</v>
      </c>
      <c r="L62" t="s">
        <v>26</v>
      </c>
    </row>
    <row r="63" spans="1:12">
      <c r="A63">
        <f t="shared" si="5"/>
        <v>0.85</v>
      </c>
      <c r="B63">
        <v>34</v>
      </c>
      <c r="C63">
        <v>18</v>
      </c>
      <c r="D63">
        <v>1.6763030000000001</v>
      </c>
      <c r="E63">
        <f t="shared" si="6"/>
        <v>1.6763030000000001</v>
      </c>
      <c r="F63">
        <f t="shared" si="7"/>
        <v>4.0003294792000004</v>
      </c>
      <c r="G63" s="6">
        <f t="shared" si="8"/>
        <v>1.1268533744225352E-2</v>
      </c>
      <c r="H63">
        <f t="shared" si="9"/>
        <v>400.03294791999997</v>
      </c>
    </row>
    <row r="64" spans="1:12">
      <c r="A64">
        <f t="shared" si="5"/>
        <v>0.9</v>
      </c>
      <c r="B64">
        <v>36</v>
      </c>
      <c r="C64">
        <v>19</v>
      </c>
      <c r="D64">
        <v>1.616833</v>
      </c>
      <c r="E64">
        <f t="shared" si="6"/>
        <v>1.616833</v>
      </c>
      <c r="F64">
        <f t="shared" si="7"/>
        <v>3.8584102711999999</v>
      </c>
      <c r="G64" s="6">
        <f t="shared" si="8"/>
        <v>1.0868761327323943E-2</v>
      </c>
      <c r="H64">
        <f t="shared" si="9"/>
        <v>385.84102712000004</v>
      </c>
    </row>
    <row r="65" spans="1:8">
      <c r="A65">
        <f t="shared" si="5"/>
        <v>0.95</v>
      </c>
      <c r="B65">
        <v>38</v>
      </c>
      <c r="C65">
        <v>20</v>
      </c>
      <c r="D65">
        <v>1.5898490000000001</v>
      </c>
      <c r="E65">
        <f t="shared" si="6"/>
        <v>1.5898490000000001</v>
      </c>
      <c r="F65">
        <f t="shared" si="7"/>
        <v>3.7940156536000003</v>
      </c>
      <c r="G65" s="6">
        <f t="shared" si="8"/>
        <v>1.068736803830986E-2</v>
      </c>
      <c r="H65">
        <f t="shared" si="9"/>
        <v>379.40156536000001</v>
      </c>
    </row>
    <row r="66" spans="1:8">
      <c r="A66">
        <f t="shared" si="5"/>
        <v>1</v>
      </c>
      <c r="B66">
        <v>40</v>
      </c>
      <c r="C66">
        <v>21</v>
      </c>
      <c r="D66">
        <v>1.7119450000000001</v>
      </c>
      <c r="E66">
        <f t="shared" si="6"/>
        <v>1.7119450000000001</v>
      </c>
      <c r="F66">
        <f t="shared" si="7"/>
        <v>4.0853855480000005</v>
      </c>
      <c r="G66" s="6">
        <f t="shared" si="8"/>
        <v>1.1508128304225353E-2</v>
      </c>
      <c r="H66">
        <f>G66*35.5*1000</f>
        <v>408.53855479999999</v>
      </c>
    </row>
    <row r="67" spans="1:8">
      <c r="A67">
        <f t="shared" si="5"/>
        <v>1.05</v>
      </c>
      <c r="B67">
        <v>42</v>
      </c>
      <c r="C67">
        <v>22</v>
      </c>
      <c r="D67">
        <v>1.668377</v>
      </c>
      <c r="E67">
        <f t="shared" si="6"/>
        <v>1.668377</v>
      </c>
      <c r="F67">
        <f t="shared" si="7"/>
        <v>3.9814148728000003</v>
      </c>
      <c r="G67" s="6">
        <f t="shared" si="8"/>
        <v>1.1215253162816902E-2</v>
      </c>
      <c r="H67">
        <f t="shared" ref="H67:H68" si="10">G67*35.5*1000</f>
        <v>398.14148728000004</v>
      </c>
    </row>
    <row r="68" spans="1:8">
      <c r="A68">
        <f t="shared" si="5"/>
        <v>1.1000000000000001</v>
      </c>
      <c r="B68">
        <v>44</v>
      </c>
      <c r="C68">
        <v>23</v>
      </c>
      <c r="D68">
        <v>1.7300120000000001</v>
      </c>
      <c r="E68">
        <f t="shared" si="6"/>
        <v>1.7300120000000001</v>
      </c>
      <c r="F68">
        <f t="shared" si="7"/>
        <v>4.1285006368000001</v>
      </c>
      <c r="G68" s="6">
        <f t="shared" si="8"/>
        <v>1.162957925859155E-2</v>
      </c>
      <c r="H68">
        <f t="shared" si="10"/>
        <v>412.85006368000006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1ECC-6068-4256-87CC-6B0EF2E595FA}">
  <dimension ref="A1:J110"/>
  <sheetViews>
    <sheetView topLeftCell="E22" workbookViewId="0">
      <selection activeCell="K81" sqref="K81"/>
    </sheetView>
  </sheetViews>
  <sheetFormatPr defaultRowHeight="14.5"/>
  <cols>
    <col min="4" max="4" width="18.90625" customWidth="1"/>
    <col min="5" max="5" width="15.7265625" customWidth="1"/>
    <col min="6" max="6" width="17.36328125" style="6" customWidth="1"/>
    <col min="7" max="7" width="13.453125" customWidth="1"/>
    <col min="8" max="8" width="14.1796875" customWidth="1"/>
    <col min="9" max="9" width="17.453125" customWidth="1"/>
    <col min="12" max="12" width="15.453125" customWidth="1"/>
  </cols>
  <sheetData>
    <row r="1" spans="1:10">
      <c r="A1" t="s">
        <v>33</v>
      </c>
      <c r="H1" t="s">
        <v>20</v>
      </c>
      <c r="I1" t="s">
        <v>21</v>
      </c>
    </row>
    <row r="2" spans="1:10">
      <c r="A2" t="s">
        <v>5</v>
      </c>
      <c r="B2" t="s">
        <v>0</v>
      </c>
      <c r="C2" t="s">
        <v>1</v>
      </c>
      <c r="D2" s="6"/>
      <c r="E2" t="s">
        <v>4</v>
      </c>
      <c r="F2" t="s">
        <v>0</v>
      </c>
      <c r="G2" t="s">
        <v>1</v>
      </c>
      <c r="H2">
        <v>0.09</v>
      </c>
      <c r="I2">
        <v>0</v>
      </c>
    </row>
    <row r="3" spans="1:10">
      <c r="B3" s="4">
        <v>0</v>
      </c>
      <c r="C3">
        <v>0</v>
      </c>
      <c r="D3" s="6"/>
      <c r="F3" s="4">
        <v>0</v>
      </c>
      <c r="G3">
        <v>0</v>
      </c>
    </row>
    <row r="4" spans="1:10">
      <c r="B4" s="4">
        <v>1.2476499999999999</v>
      </c>
      <c r="C4">
        <v>5</v>
      </c>
      <c r="D4" s="6"/>
      <c r="F4" s="3">
        <v>0.32322200000000001</v>
      </c>
      <c r="G4">
        <v>1</v>
      </c>
    </row>
    <row r="5" spans="1:10">
      <c r="B5" s="4">
        <v>2.5257749999999999</v>
      </c>
      <c r="C5">
        <v>10</v>
      </c>
      <c r="D5" s="6"/>
      <c r="F5" s="3">
        <v>1.7661309999999999</v>
      </c>
      <c r="G5">
        <v>5</v>
      </c>
    </row>
    <row r="6" spans="1:10">
      <c r="B6" s="4">
        <v>3.9033180000000001</v>
      </c>
      <c r="C6">
        <v>15</v>
      </c>
      <c r="D6" s="6"/>
      <c r="F6" s="3">
        <v>3.849869</v>
      </c>
      <c r="G6">
        <v>10</v>
      </c>
    </row>
    <row r="7" spans="1:10">
      <c r="B7" s="4">
        <v>6.6340060000000003</v>
      </c>
      <c r="C7">
        <v>25</v>
      </c>
      <c r="D7" s="6"/>
      <c r="F7" s="3">
        <v>8.1827179999999995</v>
      </c>
      <c r="G7">
        <v>20</v>
      </c>
    </row>
    <row r="8" spans="1:10">
      <c r="B8" s="3"/>
      <c r="D8" s="6"/>
      <c r="F8" s="3">
        <v>43.232191999999998</v>
      </c>
      <c r="G8">
        <v>100</v>
      </c>
    </row>
    <row r="12" spans="1:10">
      <c r="D12" t="s">
        <v>5</v>
      </c>
    </row>
    <row r="13" spans="1:10">
      <c r="A13" t="s">
        <v>10</v>
      </c>
      <c r="B13" t="s">
        <v>18</v>
      </c>
      <c r="C13" t="s">
        <v>17</v>
      </c>
      <c r="D13" t="s">
        <v>0</v>
      </c>
      <c r="E13" t="s">
        <v>22</v>
      </c>
      <c r="F13" t="s">
        <v>3</v>
      </c>
      <c r="G13" s="6" t="s">
        <v>16</v>
      </c>
      <c r="H13" s="1" t="s">
        <v>13</v>
      </c>
      <c r="J13" s="2"/>
    </row>
    <row r="14" spans="1:10">
      <c r="A14">
        <f>B14/40</f>
        <v>0</v>
      </c>
      <c r="B14">
        <v>0</v>
      </c>
      <c r="C14">
        <v>0</v>
      </c>
      <c r="D14">
        <v>0</v>
      </c>
      <c r="E14">
        <f>D14-$H$2</f>
        <v>-0.09</v>
      </c>
      <c r="F14">
        <f>3.4695*D14</f>
        <v>0</v>
      </c>
      <c r="G14" s="6">
        <f>F14*20/96/1000</f>
        <v>0</v>
      </c>
      <c r="H14">
        <f>G14*96*1000</f>
        <v>0</v>
      </c>
    </row>
    <row r="15" spans="1:10">
      <c r="A15">
        <f>B15/40</f>
        <v>0</v>
      </c>
      <c r="B15">
        <v>0</v>
      </c>
      <c r="C15">
        <v>1</v>
      </c>
      <c r="D15">
        <v>25.197044000000002</v>
      </c>
      <c r="E15">
        <f t="shared" ref="E15:E60" si="0">D15-$H$2</f>
        <v>25.107044000000002</v>
      </c>
      <c r="F15">
        <f>3.9722*E15</f>
        <v>99.730200176800011</v>
      </c>
      <c r="G15" s="6">
        <f>F15*100/96/1000</f>
        <v>0.10388562518416668</v>
      </c>
      <c r="H15">
        <f t="shared" ref="H15:H60" si="1">G15*96*1000</f>
        <v>9973.0200176800008</v>
      </c>
    </row>
    <row r="16" spans="1:10">
      <c r="A16">
        <f t="shared" ref="A16:A60" si="2">B16/40</f>
        <v>0.05</v>
      </c>
      <c r="B16">
        <v>2</v>
      </c>
      <c r="C16">
        <v>2</v>
      </c>
      <c r="D16">
        <v>21.620702999999999</v>
      </c>
      <c r="E16">
        <f t="shared" si="0"/>
        <v>21.530702999999999</v>
      </c>
      <c r="F16">
        <f t="shared" ref="F16:F38" si="3">3.9722*E16</f>
        <v>85.524258456599995</v>
      </c>
      <c r="G16" s="6">
        <f t="shared" ref="G16:G60" si="4">F16*100/96/1000</f>
        <v>8.9087769225625002E-2</v>
      </c>
      <c r="H16">
        <f t="shared" si="1"/>
        <v>8552.42584566</v>
      </c>
    </row>
    <row r="17" spans="1:9">
      <c r="A17">
        <f t="shared" si="2"/>
        <v>0.1</v>
      </c>
      <c r="B17">
        <v>4</v>
      </c>
      <c r="C17">
        <v>3</v>
      </c>
      <c r="D17">
        <v>16.888929000000001</v>
      </c>
      <c r="E17">
        <f t="shared" si="0"/>
        <v>16.798929000000001</v>
      </c>
      <c r="F17">
        <f t="shared" si="3"/>
        <v>66.728705773800002</v>
      </c>
      <c r="G17" s="6">
        <f t="shared" si="4"/>
        <v>6.9509068514375008E-2</v>
      </c>
      <c r="H17">
        <f t="shared" si="1"/>
        <v>6672.8705773800011</v>
      </c>
    </row>
    <row r="18" spans="1:9">
      <c r="A18">
        <f t="shared" si="2"/>
        <v>0.15</v>
      </c>
      <c r="B18">
        <v>6</v>
      </c>
      <c r="C18">
        <v>4</v>
      </c>
      <c r="D18">
        <v>13.826269</v>
      </c>
      <c r="E18">
        <f t="shared" si="0"/>
        <v>13.736269</v>
      </c>
      <c r="F18">
        <f t="shared" si="3"/>
        <v>54.563207721799998</v>
      </c>
      <c r="G18" s="6">
        <f t="shared" si="4"/>
        <v>5.6836674710208333E-2</v>
      </c>
      <c r="H18">
        <f t="shared" si="1"/>
        <v>5456.3207721799999</v>
      </c>
    </row>
    <row r="19" spans="1:9">
      <c r="A19">
        <f t="shared" si="2"/>
        <v>0.2</v>
      </c>
      <c r="B19">
        <v>8</v>
      </c>
      <c r="C19">
        <v>5</v>
      </c>
      <c r="D19">
        <v>26.065131999999998</v>
      </c>
      <c r="E19">
        <f t="shared" si="0"/>
        <v>25.975131999999999</v>
      </c>
      <c r="F19">
        <f t="shared" si="3"/>
        <v>103.17841933039999</v>
      </c>
      <c r="G19" s="6">
        <f t="shared" si="4"/>
        <v>0.10747752013583332</v>
      </c>
      <c r="H19">
        <f t="shared" si="1"/>
        <v>10317.841933039999</v>
      </c>
    </row>
    <row r="20" spans="1:9">
      <c r="A20">
        <f t="shared" si="2"/>
        <v>0.25</v>
      </c>
      <c r="B20">
        <v>10</v>
      </c>
      <c r="C20">
        <v>6</v>
      </c>
      <c r="D20">
        <v>35.220007000000003</v>
      </c>
      <c r="E20">
        <f t="shared" si="0"/>
        <v>35.130006999999999</v>
      </c>
      <c r="F20">
        <f t="shared" si="3"/>
        <v>139.54341380540001</v>
      </c>
      <c r="G20" s="6">
        <f t="shared" si="4"/>
        <v>0.14535772271395833</v>
      </c>
      <c r="H20">
        <f t="shared" si="1"/>
        <v>13954.341380540001</v>
      </c>
    </row>
    <row r="21" spans="1:9">
      <c r="A21">
        <f t="shared" si="2"/>
        <v>0.3</v>
      </c>
      <c r="B21">
        <v>12</v>
      </c>
      <c r="C21">
        <v>7</v>
      </c>
      <c r="D21">
        <v>37.439981000000003</v>
      </c>
      <c r="E21">
        <f t="shared" si="0"/>
        <v>37.349981</v>
      </c>
      <c r="F21">
        <f t="shared" si="3"/>
        <v>148.36159452819999</v>
      </c>
      <c r="G21" s="6">
        <f t="shared" si="4"/>
        <v>0.15454332763354164</v>
      </c>
      <c r="H21">
        <f t="shared" si="1"/>
        <v>14836.159452819998</v>
      </c>
    </row>
    <row r="22" spans="1:9">
      <c r="A22">
        <f t="shared" si="2"/>
        <v>0.35</v>
      </c>
      <c r="B22">
        <v>14</v>
      </c>
      <c r="C22">
        <v>8</v>
      </c>
      <c r="D22">
        <v>55.872509000000001</v>
      </c>
      <c r="E22">
        <f t="shared" si="0"/>
        <v>55.782508999999997</v>
      </c>
      <c r="F22">
        <f t="shared" si="3"/>
        <v>221.57928224979997</v>
      </c>
      <c r="G22" s="6">
        <f t="shared" si="4"/>
        <v>0.23081175234354165</v>
      </c>
      <c r="H22">
        <f t="shared" si="1"/>
        <v>22157.928224979998</v>
      </c>
    </row>
    <row r="23" spans="1:9">
      <c r="A23">
        <f t="shared" si="2"/>
        <v>0.4</v>
      </c>
      <c r="B23">
        <v>16</v>
      </c>
      <c r="C23">
        <v>9</v>
      </c>
      <c r="D23">
        <v>60.816985000000003</v>
      </c>
      <c r="E23">
        <f t="shared" si="0"/>
        <v>60.726984999999999</v>
      </c>
      <c r="F23">
        <f t="shared" si="3"/>
        <v>241.219729817</v>
      </c>
      <c r="G23" s="6">
        <f t="shared" si="4"/>
        <v>0.25127055189270836</v>
      </c>
      <c r="H23">
        <f t="shared" si="1"/>
        <v>24121.972981700004</v>
      </c>
    </row>
    <row r="24" spans="1:9">
      <c r="A24">
        <f t="shared" si="2"/>
        <v>0.45</v>
      </c>
      <c r="B24">
        <v>18</v>
      </c>
      <c r="C24">
        <v>10</v>
      </c>
      <c r="D24">
        <v>63.632463000000001</v>
      </c>
      <c r="E24">
        <f t="shared" si="0"/>
        <v>63.542462999999998</v>
      </c>
      <c r="F24">
        <f t="shared" si="3"/>
        <v>252.40337152859999</v>
      </c>
      <c r="G24" s="6">
        <f t="shared" si="4"/>
        <v>0.262920178675625</v>
      </c>
      <c r="H24">
        <f t="shared" si="1"/>
        <v>25240.33715286</v>
      </c>
    </row>
    <row r="25" spans="1:9">
      <c r="A25">
        <f t="shared" si="2"/>
        <v>0.5</v>
      </c>
      <c r="B25">
        <v>20</v>
      </c>
      <c r="C25">
        <v>11</v>
      </c>
      <c r="D25">
        <v>44.731228999999999</v>
      </c>
      <c r="E25">
        <f t="shared" si="0"/>
        <v>44.641228999999996</v>
      </c>
      <c r="F25">
        <f t="shared" si="3"/>
        <v>177.32388983379997</v>
      </c>
      <c r="G25" s="6">
        <f t="shared" si="4"/>
        <v>0.18471238524354167</v>
      </c>
      <c r="H25">
        <f t="shared" si="1"/>
        <v>17732.388983379999</v>
      </c>
    </row>
    <row r="26" spans="1:9">
      <c r="A26">
        <f t="shared" si="2"/>
        <v>0.55000000000000004</v>
      </c>
      <c r="B26">
        <v>22</v>
      </c>
      <c r="C26">
        <v>12</v>
      </c>
      <c r="D26">
        <v>64.932106000000005</v>
      </c>
      <c r="E26">
        <f t="shared" si="0"/>
        <v>64.842106000000001</v>
      </c>
      <c r="F26">
        <f t="shared" si="3"/>
        <v>257.56581345320001</v>
      </c>
      <c r="G26" s="6">
        <f t="shared" si="4"/>
        <v>0.26829772234708338</v>
      </c>
      <c r="H26">
        <f t="shared" si="1"/>
        <v>25756.581345320003</v>
      </c>
      <c r="I26" s="2"/>
    </row>
    <row r="27" spans="1:9">
      <c r="A27">
        <f t="shared" si="2"/>
        <v>0.6</v>
      </c>
      <c r="B27">
        <v>24</v>
      </c>
      <c r="C27">
        <v>13</v>
      </c>
      <c r="D27">
        <v>53.710540000000002</v>
      </c>
      <c r="E27">
        <f t="shared" si="0"/>
        <v>53.620539999999998</v>
      </c>
      <c r="F27">
        <f t="shared" si="3"/>
        <v>212.99150898799999</v>
      </c>
      <c r="G27" s="6">
        <f t="shared" si="4"/>
        <v>0.22186615519583333</v>
      </c>
      <c r="H27">
        <f t="shared" si="1"/>
        <v>21299.150898800002</v>
      </c>
      <c r="I27" s="2"/>
    </row>
    <row r="28" spans="1:9">
      <c r="A28">
        <f t="shared" si="2"/>
        <v>0.65</v>
      </c>
      <c r="B28">
        <v>26</v>
      </c>
      <c r="C28">
        <v>14</v>
      </c>
      <c r="D28">
        <v>50.667662999999997</v>
      </c>
      <c r="E28">
        <f t="shared" si="0"/>
        <v>50.577662999999994</v>
      </c>
      <c r="F28">
        <f t="shared" si="3"/>
        <v>200.90459296859999</v>
      </c>
      <c r="G28" s="6">
        <f t="shared" si="4"/>
        <v>0.20927561767562497</v>
      </c>
      <c r="H28">
        <f t="shared" si="1"/>
        <v>20090.459296859997</v>
      </c>
    </row>
    <row r="29" spans="1:9">
      <c r="A29">
        <f t="shared" si="2"/>
        <v>0.7</v>
      </c>
      <c r="B29">
        <v>28</v>
      </c>
      <c r="C29">
        <v>15</v>
      </c>
      <c r="D29">
        <v>67.868972999999997</v>
      </c>
      <c r="E29">
        <f t="shared" si="0"/>
        <v>67.778972999999993</v>
      </c>
      <c r="F29">
        <f t="shared" si="3"/>
        <v>269.23163655059994</v>
      </c>
      <c r="G29" s="6">
        <f t="shared" si="4"/>
        <v>0.28044962140687496</v>
      </c>
      <c r="H29">
        <f t="shared" si="1"/>
        <v>26923.163655059994</v>
      </c>
    </row>
    <row r="30" spans="1:9">
      <c r="A30">
        <f t="shared" si="2"/>
        <v>0.75</v>
      </c>
      <c r="B30">
        <v>30</v>
      </c>
      <c r="C30">
        <v>16</v>
      </c>
      <c r="D30">
        <v>66.141639999999995</v>
      </c>
      <c r="E30">
        <f t="shared" si="0"/>
        <v>66.051639999999992</v>
      </c>
      <c r="F30">
        <f t="shared" si="3"/>
        <v>262.37032440799999</v>
      </c>
      <c r="G30" s="6">
        <f t="shared" si="4"/>
        <v>0.27330242125833332</v>
      </c>
      <c r="H30">
        <f t="shared" si="1"/>
        <v>26237.032440800001</v>
      </c>
    </row>
    <row r="31" spans="1:9">
      <c r="A31">
        <f t="shared" si="2"/>
        <v>0.8</v>
      </c>
      <c r="B31">
        <v>32</v>
      </c>
      <c r="C31">
        <v>17</v>
      </c>
      <c r="D31">
        <v>66.073536000000004</v>
      </c>
      <c r="E31">
        <f t="shared" si="0"/>
        <v>65.983536000000001</v>
      </c>
      <c r="F31">
        <f t="shared" si="3"/>
        <v>262.09980169919999</v>
      </c>
      <c r="G31" s="6">
        <f t="shared" si="4"/>
        <v>0.27302062677</v>
      </c>
      <c r="H31">
        <f t="shared" si="1"/>
        <v>26209.98016992</v>
      </c>
    </row>
    <row r="32" spans="1:9">
      <c r="A32">
        <f t="shared" si="2"/>
        <v>0.85</v>
      </c>
      <c r="B32">
        <v>34</v>
      </c>
      <c r="C32">
        <v>18</v>
      </c>
      <c r="D32">
        <v>67.467788999999996</v>
      </c>
      <c r="E32">
        <f t="shared" si="0"/>
        <v>67.377788999999993</v>
      </c>
      <c r="F32">
        <f t="shared" si="3"/>
        <v>267.63805346579994</v>
      </c>
      <c r="G32" s="6">
        <f t="shared" si="4"/>
        <v>0.27878963902687492</v>
      </c>
      <c r="H32">
        <f t="shared" si="1"/>
        <v>26763.805346579993</v>
      </c>
    </row>
    <row r="33" spans="1:8">
      <c r="A33">
        <f t="shared" si="2"/>
        <v>0.9</v>
      </c>
      <c r="B33">
        <v>36</v>
      </c>
      <c r="C33">
        <v>19</v>
      </c>
      <c r="D33">
        <v>68.004313999999994</v>
      </c>
      <c r="E33">
        <f t="shared" si="0"/>
        <v>67.91431399999999</v>
      </c>
      <c r="F33">
        <f t="shared" si="3"/>
        <v>269.76923807079999</v>
      </c>
      <c r="G33" s="6">
        <f t="shared" si="4"/>
        <v>0.28100962299041665</v>
      </c>
      <c r="H33">
        <f t="shared" si="1"/>
        <v>26976.923807079998</v>
      </c>
    </row>
    <row r="34" spans="1:8">
      <c r="A34">
        <f t="shared" si="2"/>
        <v>0.95</v>
      </c>
      <c r="B34">
        <v>38</v>
      </c>
      <c r="C34">
        <v>20</v>
      </c>
      <c r="D34">
        <v>54.615564999999997</v>
      </c>
      <c r="E34">
        <f t="shared" si="0"/>
        <v>54.525564999999993</v>
      </c>
      <c r="F34">
        <f t="shared" si="3"/>
        <v>216.58644929299996</v>
      </c>
      <c r="G34" s="6">
        <f t="shared" si="4"/>
        <v>0.22561088468020829</v>
      </c>
      <c r="H34">
        <f t="shared" si="1"/>
        <v>21658.644929299997</v>
      </c>
    </row>
    <row r="35" spans="1:8">
      <c r="A35">
        <f t="shared" si="2"/>
        <v>1</v>
      </c>
      <c r="B35">
        <v>40</v>
      </c>
      <c r="C35">
        <v>21</v>
      </c>
      <c r="D35">
        <v>56.338707999999997</v>
      </c>
      <c r="E35">
        <f t="shared" si="0"/>
        <v>56.248707999999993</v>
      </c>
      <c r="F35">
        <f t="shared" si="3"/>
        <v>223.43111791759998</v>
      </c>
      <c r="G35" s="6">
        <f t="shared" si="4"/>
        <v>0.23274074783083332</v>
      </c>
      <c r="H35">
        <f t="shared" si="1"/>
        <v>22343.111791759999</v>
      </c>
    </row>
    <row r="36" spans="1:8">
      <c r="A36">
        <f t="shared" si="2"/>
        <v>1.05</v>
      </c>
      <c r="B36">
        <v>42</v>
      </c>
      <c r="C36">
        <v>22</v>
      </c>
      <c r="D36">
        <v>59.721606000000001</v>
      </c>
      <c r="E36">
        <f t="shared" si="0"/>
        <v>59.631605999999998</v>
      </c>
      <c r="F36">
        <f t="shared" si="3"/>
        <v>236.86866535319999</v>
      </c>
      <c r="G36" s="6">
        <f t="shared" si="4"/>
        <v>0.24673819307624997</v>
      </c>
      <c r="H36">
        <f t="shared" si="1"/>
        <v>23686.866535319998</v>
      </c>
    </row>
    <row r="37" spans="1:8">
      <c r="A37">
        <f t="shared" si="2"/>
        <v>1.1000000000000001</v>
      </c>
      <c r="B37">
        <v>44</v>
      </c>
      <c r="C37">
        <v>23</v>
      </c>
      <c r="D37">
        <v>69.252734000000004</v>
      </c>
      <c r="E37">
        <f t="shared" si="0"/>
        <v>69.162734</v>
      </c>
      <c r="F37">
        <f t="shared" si="3"/>
        <v>274.72821199480001</v>
      </c>
      <c r="G37" s="6">
        <f t="shared" si="4"/>
        <v>0.28617522082791669</v>
      </c>
      <c r="H37">
        <f t="shared" si="1"/>
        <v>27472.82119948</v>
      </c>
    </row>
    <row r="38" spans="1:8">
      <c r="A38">
        <f t="shared" si="2"/>
        <v>1.3</v>
      </c>
      <c r="B38">
        <f>B37+8</f>
        <v>52</v>
      </c>
      <c r="C38">
        <v>24</v>
      </c>
      <c r="D38">
        <v>62.661554000000002</v>
      </c>
      <c r="E38">
        <f t="shared" si="0"/>
        <v>62.571553999999999</v>
      </c>
      <c r="F38">
        <f t="shared" si="3"/>
        <v>248.54672679879999</v>
      </c>
      <c r="G38" s="6">
        <f t="shared" si="4"/>
        <v>0.25890284041541667</v>
      </c>
      <c r="H38">
        <f t="shared" si="1"/>
        <v>24854.672679880001</v>
      </c>
    </row>
    <row r="39" spans="1:8">
      <c r="A39">
        <f t="shared" si="2"/>
        <v>1.5</v>
      </c>
      <c r="B39">
        <f t="shared" ref="B39:B60" si="5">B38+8</f>
        <v>60</v>
      </c>
      <c r="C39">
        <v>25</v>
      </c>
      <c r="D39">
        <v>63.154235999999997</v>
      </c>
      <c r="E39">
        <f t="shared" si="0"/>
        <v>63.064235999999994</v>
      </c>
      <c r="F39">
        <f>3.809*E39</f>
        <v>240.21167492399999</v>
      </c>
      <c r="G39" s="6">
        <f t="shared" si="4"/>
        <v>0.25022049471250002</v>
      </c>
      <c r="H39">
        <f t="shared" si="1"/>
        <v>24021.167492400004</v>
      </c>
    </row>
    <row r="40" spans="1:8">
      <c r="A40">
        <f t="shared" si="2"/>
        <v>1.7</v>
      </c>
      <c r="B40">
        <f t="shared" si="5"/>
        <v>68</v>
      </c>
      <c r="C40">
        <v>26</v>
      </c>
      <c r="D40">
        <v>60.728735999999998</v>
      </c>
      <c r="E40">
        <f t="shared" si="0"/>
        <v>60.638735999999994</v>
      </c>
      <c r="F40">
        <f t="shared" ref="F40:F60" si="6">3.809*E40</f>
        <v>230.97294542399999</v>
      </c>
      <c r="G40" s="6">
        <f t="shared" si="4"/>
        <v>0.24059681815</v>
      </c>
      <c r="H40">
        <f t="shared" si="1"/>
        <v>23097.294542399999</v>
      </c>
    </row>
    <row r="41" spans="1:8">
      <c r="A41">
        <f t="shared" si="2"/>
        <v>1.9</v>
      </c>
      <c r="B41">
        <f t="shared" si="5"/>
        <v>76</v>
      </c>
      <c r="C41">
        <v>27</v>
      </c>
      <c r="D41">
        <v>56.569093000000002</v>
      </c>
      <c r="E41">
        <f t="shared" si="0"/>
        <v>56.479092999999999</v>
      </c>
      <c r="F41">
        <f t="shared" si="6"/>
        <v>215.12886523700001</v>
      </c>
      <c r="G41" s="6">
        <f t="shared" si="4"/>
        <v>0.22409256795520835</v>
      </c>
      <c r="H41">
        <f t="shared" si="1"/>
        <v>21512.886523699999</v>
      </c>
    </row>
    <row r="42" spans="1:8">
      <c r="A42">
        <f t="shared" si="2"/>
        <v>2.1</v>
      </c>
      <c r="B42">
        <f t="shared" si="5"/>
        <v>84</v>
      </c>
      <c r="C42">
        <v>28</v>
      </c>
      <c r="D42">
        <v>56.434719999999999</v>
      </c>
      <c r="E42">
        <f t="shared" si="0"/>
        <v>56.344719999999995</v>
      </c>
      <c r="F42">
        <f t="shared" si="6"/>
        <v>214.61703847999999</v>
      </c>
      <c r="G42" s="6">
        <f t="shared" si="4"/>
        <v>0.2235594150833333</v>
      </c>
      <c r="H42">
        <f t="shared" si="1"/>
        <v>21461.703847999994</v>
      </c>
    </row>
    <row r="43" spans="1:8">
      <c r="A43">
        <f t="shared" si="2"/>
        <v>2.2999999999999998</v>
      </c>
      <c r="B43">
        <f t="shared" si="5"/>
        <v>92</v>
      </c>
      <c r="C43">
        <v>29</v>
      </c>
      <c r="D43">
        <v>52.201523000000002</v>
      </c>
      <c r="E43">
        <f t="shared" si="0"/>
        <v>52.111522999999998</v>
      </c>
      <c r="F43">
        <f t="shared" si="6"/>
        <v>198.49279110699999</v>
      </c>
      <c r="G43" s="6">
        <f t="shared" si="4"/>
        <v>0.20676332406979164</v>
      </c>
      <c r="H43">
        <f t="shared" si="1"/>
        <v>19849.279110699998</v>
      </c>
    </row>
    <row r="44" spans="1:8">
      <c r="A44">
        <f t="shared" si="2"/>
        <v>2.5</v>
      </c>
      <c r="B44">
        <f t="shared" si="5"/>
        <v>100</v>
      </c>
      <c r="C44">
        <v>30</v>
      </c>
      <c r="D44">
        <v>45.669755000000002</v>
      </c>
      <c r="E44">
        <f t="shared" si="0"/>
        <v>45.579754999999999</v>
      </c>
      <c r="F44">
        <f t="shared" si="6"/>
        <v>173.61328679499999</v>
      </c>
      <c r="G44" s="6">
        <f t="shared" si="4"/>
        <v>0.18084717374479167</v>
      </c>
      <c r="H44">
        <f t="shared" si="1"/>
        <v>17361.328679500002</v>
      </c>
    </row>
    <row r="45" spans="1:8">
      <c r="A45">
        <f t="shared" si="2"/>
        <v>2.7</v>
      </c>
      <c r="B45">
        <f t="shared" si="5"/>
        <v>108</v>
      </c>
      <c r="C45">
        <v>31</v>
      </c>
      <c r="D45">
        <v>33.208534</v>
      </c>
      <c r="E45">
        <f t="shared" si="0"/>
        <v>33.118533999999997</v>
      </c>
      <c r="F45">
        <f t="shared" si="6"/>
        <v>126.14849600599999</v>
      </c>
      <c r="G45" s="6">
        <f t="shared" si="4"/>
        <v>0.13140468333958333</v>
      </c>
      <c r="H45">
        <f t="shared" si="1"/>
        <v>12614.849600599999</v>
      </c>
    </row>
    <row r="46" spans="1:8">
      <c r="A46">
        <f t="shared" si="2"/>
        <v>2.9</v>
      </c>
      <c r="B46">
        <f t="shared" si="5"/>
        <v>116</v>
      </c>
      <c r="C46">
        <v>32</v>
      </c>
      <c r="D46">
        <v>27.181614</v>
      </c>
      <c r="E46">
        <f t="shared" si="0"/>
        <v>27.091614</v>
      </c>
      <c r="F46">
        <f t="shared" si="6"/>
        <v>103.191957726</v>
      </c>
      <c r="G46" s="6">
        <f t="shared" si="4"/>
        <v>0.10749162263124999</v>
      </c>
      <c r="H46">
        <f t="shared" si="1"/>
        <v>10319.195772599998</v>
      </c>
    </row>
    <row r="47" spans="1:8">
      <c r="A47">
        <f t="shared" si="2"/>
        <v>3.1</v>
      </c>
      <c r="B47">
        <f t="shared" si="5"/>
        <v>124</v>
      </c>
      <c r="C47">
        <v>33</v>
      </c>
      <c r="D47">
        <v>20.367364999999999</v>
      </c>
      <c r="E47">
        <f t="shared" si="0"/>
        <v>20.277365</v>
      </c>
      <c r="F47">
        <f t="shared" si="6"/>
        <v>77.236483285000006</v>
      </c>
      <c r="G47" s="6">
        <f t="shared" si="4"/>
        <v>8.045467008854168E-2</v>
      </c>
      <c r="H47">
        <f t="shared" si="1"/>
        <v>7723.6483285000013</v>
      </c>
    </row>
    <row r="48" spans="1:8">
      <c r="A48">
        <f t="shared" si="2"/>
        <v>3.3</v>
      </c>
      <c r="B48">
        <f t="shared" si="5"/>
        <v>132</v>
      </c>
      <c r="C48">
        <v>34</v>
      </c>
      <c r="D48">
        <v>14.03626</v>
      </c>
      <c r="E48">
        <f t="shared" si="0"/>
        <v>13.946260000000001</v>
      </c>
      <c r="F48">
        <f t="shared" si="6"/>
        <v>53.121304340000002</v>
      </c>
      <c r="G48" s="6">
        <f t="shared" si="4"/>
        <v>5.533469202083334E-2</v>
      </c>
      <c r="H48">
        <f t="shared" si="1"/>
        <v>5312.1304340000006</v>
      </c>
    </row>
    <row r="49" spans="1:8">
      <c r="A49">
        <f t="shared" si="2"/>
        <v>3.5</v>
      </c>
      <c r="B49">
        <f t="shared" si="5"/>
        <v>140</v>
      </c>
      <c r="C49">
        <v>35</v>
      </c>
      <c r="D49">
        <v>9.3131559999999993</v>
      </c>
      <c r="E49">
        <f t="shared" si="0"/>
        <v>9.2231559999999995</v>
      </c>
      <c r="F49">
        <f t="shared" si="6"/>
        <v>35.131001204</v>
      </c>
      <c r="G49" s="6">
        <f t="shared" si="4"/>
        <v>3.6594792920833334E-2</v>
      </c>
      <c r="H49">
        <f t="shared" si="1"/>
        <v>3513.1001203999999</v>
      </c>
    </row>
    <row r="50" spans="1:8">
      <c r="A50">
        <f t="shared" si="2"/>
        <v>3.7</v>
      </c>
      <c r="B50">
        <f t="shared" si="5"/>
        <v>148</v>
      </c>
      <c r="C50">
        <v>36</v>
      </c>
      <c r="D50">
        <v>5.4883379999999997</v>
      </c>
      <c r="E50">
        <f t="shared" si="0"/>
        <v>5.3983379999999999</v>
      </c>
      <c r="F50">
        <f t="shared" si="6"/>
        <v>20.562269442000002</v>
      </c>
      <c r="G50" s="6">
        <f t="shared" si="4"/>
        <v>2.1419030668750002E-2</v>
      </c>
      <c r="H50">
        <f t="shared" si="1"/>
        <v>2056.2269442000002</v>
      </c>
    </row>
    <row r="51" spans="1:8">
      <c r="A51">
        <f t="shared" si="2"/>
        <v>3.9</v>
      </c>
      <c r="B51">
        <f t="shared" si="5"/>
        <v>156</v>
      </c>
      <c r="C51">
        <v>37</v>
      </c>
      <c r="D51">
        <v>4.9559470000000001</v>
      </c>
      <c r="E51">
        <f t="shared" si="0"/>
        <v>4.8659470000000002</v>
      </c>
      <c r="F51">
        <f t="shared" si="6"/>
        <v>18.534392123000003</v>
      </c>
      <c r="G51" s="6">
        <f t="shared" si="4"/>
        <v>1.9306658461458338E-2</v>
      </c>
      <c r="H51">
        <f t="shared" si="1"/>
        <v>1853.4392123000005</v>
      </c>
    </row>
    <row r="52" spans="1:8">
      <c r="A52">
        <f t="shared" si="2"/>
        <v>4.0999999999999996</v>
      </c>
      <c r="B52">
        <f t="shared" si="5"/>
        <v>164</v>
      </c>
      <c r="C52">
        <v>38</v>
      </c>
      <c r="D52">
        <v>1.464372</v>
      </c>
      <c r="E52">
        <f t="shared" si="0"/>
        <v>1.3743719999999999</v>
      </c>
      <c r="F52">
        <f t="shared" si="6"/>
        <v>5.2349829479999999</v>
      </c>
      <c r="G52" s="6">
        <f t="shared" si="4"/>
        <v>5.4531072374999993E-3</v>
      </c>
      <c r="H52">
        <f t="shared" si="1"/>
        <v>523.49829479999994</v>
      </c>
    </row>
    <row r="53" spans="1:8">
      <c r="A53">
        <f t="shared" si="2"/>
        <v>4.3</v>
      </c>
      <c r="B53">
        <f t="shared" si="5"/>
        <v>172</v>
      </c>
      <c r="C53">
        <v>39</v>
      </c>
      <c r="D53">
        <v>2.2599019999999999</v>
      </c>
      <c r="E53">
        <f t="shared" si="0"/>
        <v>2.169902</v>
      </c>
      <c r="F53">
        <f t="shared" si="6"/>
        <v>8.2651567180000001</v>
      </c>
      <c r="G53" s="6">
        <f t="shared" si="4"/>
        <v>8.609538247916668E-3</v>
      </c>
      <c r="H53">
        <f t="shared" si="1"/>
        <v>826.51567180000018</v>
      </c>
    </row>
    <row r="54" spans="1:8">
      <c r="A54">
        <f t="shared" si="2"/>
        <v>4.5</v>
      </c>
      <c r="B54">
        <f t="shared" si="5"/>
        <v>180</v>
      </c>
      <c r="C54">
        <v>40</v>
      </c>
      <c r="D54">
        <v>1.4396180000000001</v>
      </c>
      <c r="E54">
        <f t="shared" si="0"/>
        <v>1.349618</v>
      </c>
      <c r="F54">
        <f t="shared" si="6"/>
        <v>5.1406949620000004</v>
      </c>
      <c r="G54" s="6">
        <f t="shared" si="4"/>
        <v>5.3548905854166667E-3</v>
      </c>
      <c r="H54">
        <f t="shared" si="1"/>
        <v>514.0694962</v>
      </c>
    </row>
    <row r="55" spans="1:8">
      <c r="A55">
        <f t="shared" si="2"/>
        <v>4.7</v>
      </c>
      <c r="B55">
        <f t="shared" si="5"/>
        <v>188</v>
      </c>
      <c r="C55">
        <v>41</v>
      </c>
      <c r="D55">
        <v>1.491061</v>
      </c>
      <c r="E55">
        <f t="shared" si="0"/>
        <v>1.4010609999999999</v>
      </c>
      <c r="F55">
        <f t="shared" si="6"/>
        <v>5.3366413489999998</v>
      </c>
      <c r="G55" s="6">
        <f t="shared" si="4"/>
        <v>5.5590014052083339E-3</v>
      </c>
      <c r="H55">
        <f t="shared" si="1"/>
        <v>533.66413490000014</v>
      </c>
    </row>
    <row r="56" spans="1:8">
      <c r="A56">
        <f t="shared" si="2"/>
        <v>4.9000000000000004</v>
      </c>
      <c r="B56">
        <f t="shared" si="5"/>
        <v>196</v>
      </c>
      <c r="C56">
        <v>42</v>
      </c>
      <c r="D56">
        <v>1.001627</v>
      </c>
      <c r="E56">
        <f t="shared" si="0"/>
        <v>0.91162700000000008</v>
      </c>
      <c r="F56">
        <f t="shared" si="6"/>
        <v>3.4723872430000005</v>
      </c>
      <c r="G56" s="6">
        <f t="shared" si="4"/>
        <v>3.6170700447916673E-3</v>
      </c>
      <c r="H56">
        <f t="shared" si="1"/>
        <v>347.23872430000006</v>
      </c>
    </row>
    <row r="57" spans="1:8">
      <c r="A57">
        <f t="shared" si="2"/>
        <v>5.0999999999999996</v>
      </c>
      <c r="B57">
        <f t="shared" si="5"/>
        <v>204</v>
      </c>
      <c r="C57">
        <v>43</v>
      </c>
      <c r="D57">
        <v>0.46827800000000003</v>
      </c>
      <c r="E57">
        <f t="shared" si="0"/>
        <v>0.378278</v>
      </c>
      <c r="F57">
        <f t="shared" si="6"/>
        <v>1.4408609020000001</v>
      </c>
      <c r="G57" s="6">
        <f t="shared" si="4"/>
        <v>1.5008967729166667E-3</v>
      </c>
      <c r="H57">
        <f t="shared" si="1"/>
        <v>144.08609020000003</v>
      </c>
    </row>
    <row r="58" spans="1:8">
      <c r="A58">
        <f t="shared" si="2"/>
        <v>5.3</v>
      </c>
      <c r="B58">
        <f t="shared" si="5"/>
        <v>212</v>
      </c>
      <c r="C58">
        <v>44</v>
      </c>
      <c r="D58">
        <v>0.49007800000000001</v>
      </c>
      <c r="E58">
        <f t="shared" si="0"/>
        <v>0.40007800000000004</v>
      </c>
      <c r="F58">
        <f t="shared" si="6"/>
        <v>1.5238971020000003</v>
      </c>
      <c r="G58" s="6">
        <f t="shared" si="4"/>
        <v>1.5873928145833335E-3</v>
      </c>
      <c r="H58">
        <f t="shared" si="1"/>
        <v>152.38971020000002</v>
      </c>
    </row>
    <row r="59" spans="1:8">
      <c r="A59">
        <f t="shared" si="2"/>
        <v>5.5</v>
      </c>
      <c r="B59">
        <f t="shared" si="5"/>
        <v>220</v>
      </c>
      <c r="C59">
        <v>45</v>
      </c>
      <c r="D59">
        <v>0.60745700000000002</v>
      </c>
      <c r="E59">
        <f t="shared" si="0"/>
        <v>0.51745700000000006</v>
      </c>
      <c r="F59">
        <f t="shared" si="6"/>
        <v>1.9709937130000004</v>
      </c>
      <c r="G59" s="6">
        <f t="shared" si="4"/>
        <v>2.0531184510416672E-3</v>
      </c>
      <c r="H59">
        <f t="shared" si="1"/>
        <v>197.09937130000006</v>
      </c>
    </row>
    <row r="60" spans="1:8">
      <c r="A60">
        <f t="shared" si="2"/>
        <v>5.7</v>
      </c>
      <c r="B60">
        <f t="shared" si="5"/>
        <v>228</v>
      </c>
      <c r="C60">
        <v>46</v>
      </c>
      <c r="D60">
        <v>0.34512500000000002</v>
      </c>
      <c r="E60">
        <f t="shared" si="0"/>
        <v>0.25512500000000005</v>
      </c>
      <c r="F60">
        <f t="shared" si="6"/>
        <v>0.97177112500000018</v>
      </c>
      <c r="G60" s="6">
        <f t="shared" si="4"/>
        <v>1.0122615885416668E-3</v>
      </c>
      <c r="H60">
        <f t="shared" si="1"/>
        <v>97.177112500000007</v>
      </c>
    </row>
    <row r="62" spans="1:8">
      <c r="D62" t="s">
        <v>4</v>
      </c>
      <c r="G62" s="2"/>
    </row>
    <row r="63" spans="1:8">
      <c r="A63" t="s">
        <v>10</v>
      </c>
      <c r="B63" t="s">
        <v>18</v>
      </c>
      <c r="C63" t="s">
        <v>17</v>
      </c>
      <c r="D63" t="s">
        <v>0</v>
      </c>
      <c r="E63" t="s">
        <v>22</v>
      </c>
      <c r="F63" t="s">
        <v>3</v>
      </c>
      <c r="G63" s="6" t="s">
        <v>16</v>
      </c>
    </row>
    <row r="64" spans="1:8">
      <c r="A64">
        <f>B64/40</f>
        <v>0</v>
      </c>
      <c r="B64">
        <v>0</v>
      </c>
      <c r="C64">
        <v>0</v>
      </c>
      <c r="D64">
        <v>63.373133000000003</v>
      </c>
      <c r="E64" s="1">
        <f>D64-$I$2</f>
        <v>63.373133000000003</v>
      </c>
      <c r="F64">
        <f>2.3864*E64</f>
        <v>151.2336445912</v>
      </c>
      <c r="G64" s="6">
        <f>F64*100/35.5/1000</f>
        <v>0.42601026645408457</v>
      </c>
      <c r="H64">
        <f>G64*35.5*1000</f>
        <v>15123.364459120003</v>
      </c>
    </row>
    <row r="65" spans="1:8">
      <c r="A65">
        <f t="shared" ref="A65:A110" si="7">B65/40</f>
        <v>0</v>
      </c>
      <c r="B65">
        <v>0</v>
      </c>
      <c r="C65">
        <v>1</v>
      </c>
      <c r="D65">
        <v>0.22250900000000001</v>
      </c>
      <c r="E65">
        <f t="shared" ref="E65:E110" si="8">D65-$I$2</f>
        <v>0.22250900000000001</v>
      </c>
      <c r="F65">
        <f t="shared" ref="F65:F87" si="9">2.3864*E65</f>
        <v>0.5309954776000001</v>
      </c>
      <c r="G65" s="6">
        <f t="shared" ref="G65:G110" si="10">F65*100/35.5/1000</f>
        <v>1.4957619087323946E-3</v>
      </c>
      <c r="H65">
        <f t="shared" ref="H65:H84" si="11">G65*35.5*1000</f>
        <v>53.099547760000014</v>
      </c>
    </row>
    <row r="66" spans="1:8">
      <c r="A66">
        <f t="shared" si="7"/>
        <v>0.05</v>
      </c>
      <c r="B66">
        <v>2</v>
      </c>
      <c r="C66">
        <v>2</v>
      </c>
      <c r="D66">
        <v>0.23405000000000001</v>
      </c>
      <c r="E66">
        <f t="shared" si="8"/>
        <v>0.23405000000000001</v>
      </c>
      <c r="F66">
        <f t="shared" si="9"/>
        <v>0.55853691999999999</v>
      </c>
      <c r="G66" s="6">
        <f t="shared" si="10"/>
        <v>1.5733434366197183E-3</v>
      </c>
      <c r="H66">
        <f t="shared" si="11"/>
        <v>55.853691999999995</v>
      </c>
    </row>
    <row r="67" spans="1:8">
      <c r="A67">
        <f t="shared" si="7"/>
        <v>0.1</v>
      </c>
      <c r="B67">
        <v>4</v>
      </c>
      <c r="C67">
        <v>3</v>
      </c>
      <c r="D67">
        <v>0.200542</v>
      </c>
      <c r="E67">
        <f t="shared" si="8"/>
        <v>0.200542</v>
      </c>
      <c r="F67">
        <f t="shared" si="9"/>
        <v>0.47857342880000003</v>
      </c>
      <c r="G67" s="6">
        <f t="shared" si="10"/>
        <v>1.3480941656338031E-3</v>
      </c>
      <c r="H67">
        <f t="shared" si="11"/>
        <v>47.857342880000004</v>
      </c>
    </row>
    <row r="68" spans="1:8">
      <c r="A68">
        <f t="shared" si="7"/>
        <v>0.15</v>
      </c>
      <c r="B68">
        <v>6</v>
      </c>
      <c r="C68">
        <v>4</v>
      </c>
      <c r="D68">
        <v>0.16531199999999999</v>
      </c>
      <c r="E68">
        <f t="shared" si="8"/>
        <v>0.16531199999999999</v>
      </c>
      <c r="F68">
        <f t="shared" si="9"/>
        <v>0.39450055679999996</v>
      </c>
      <c r="G68" s="6">
        <f t="shared" si="10"/>
        <v>1.111269174084507E-3</v>
      </c>
      <c r="H68">
        <f t="shared" si="11"/>
        <v>39.450055679999998</v>
      </c>
    </row>
    <row r="69" spans="1:8">
      <c r="A69">
        <f t="shared" si="7"/>
        <v>0.2</v>
      </c>
      <c r="B69">
        <v>8</v>
      </c>
      <c r="C69">
        <v>5</v>
      </c>
      <c r="D69">
        <v>0.231431</v>
      </c>
      <c r="E69">
        <f t="shared" si="8"/>
        <v>0.231431</v>
      </c>
      <c r="F69">
        <f t="shared" si="9"/>
        <v>0.55228693839999998</v>
      </c>
      <c r="G69" s="6">
        <f t="shared" si="10"/>
        <v>1.5557378546478874E-3</v>
      </c>
      <c r="H69">
        <f t="shared" si="11"/>
        <v>55.228693840000005</v>
      </c>
    </row>
    <row r="70" spans="1:8">
      <c r="A70">
        <f t="shared" si="7"/>
        <v>0.25</v>
      </c>
      <c r="B70">
        <v>10</v>
      </c>
      <c r="C70">
        <v>6</v>
      </c>
      <c r="D70">
        <v>0.22797799999999999</v>
      </c>
      <c r="E70">
        <f t="shared" si="8"/>
        <v>0.22797799999999999</v>
      </c>
      <c r="F70">
        <f t="shared" si="9"/>
        <v>0.54404669920000004</v>
      </c>
      <c r="G70" s="6">
        <f t="shared" si="10"/>
        <v>1.5325259132394366E-3</v>
      </c>
      <c r="H70">
        <f t="shared" si="11"/>
        <v>54.404669920000003</v>
      </c>
    </row>
    <row r="71" spans="1:8">
      <c r="A71">
        <f t="shared" si="7"/>
        <v>0.3</v>
      </c>
      <c r="B71">
        <v>12</v>
      </c>
      <c r="C71">
        <v>7</v>
      </c>
      <c r="D71">
        <v>0.200187</v>
      </c>
      <c r="E71">
        <f t="shared" si="8"/>
        <v>0.200187</v>
      </c>
      <c r="F71">
        <f t="shared" si="9"/>
        <v>0.47772625680000003</v>
      </c>
      <c r="G71" s="6">
        <f t="shared" si="10"/>
        <v>1.3457077656338029E-3</v>
      </c>
      <c r="H71">
        <f t="shared" si="11"/>
        <v>47.772625679999997</v>
      </c>
    </row>
    <row r="72" spans="1:8">
      <c r="A72">
        <f t="shared" si="7"/>
        <v>0.35</v>
      </c>
      <c r="B72">
        <v>14</v>
      </c>
      <c r="C72">
        <v>8</v>
      </c>
      <c r="D72">
        <v>0.270094</v>
      </c>
      <c r="E72">
        <f t="shared" si="8"/>
        <v>0.270094</v>
      </c>
      <c r="F72">
        <f t="shared" si="9"/>
        <v>0.64455232159999998</v>
      </c>
      <c r="G72" s="6">
        <f t="shared" si="10"/>
        <v>1.815640342535211E-3</v>
      </c>
      <c r="H72">
        <f t="shared" si="11"/>
        <v>64.45523215999998</v>
      </c>
    </row>
    <row r="73" spans="1:8">
      <c r="A73">
        <f t="shared" si="7"/>
        <v>0.4</v>
      </c>
      <c r="B73">
        <v>16</v>
      </c>
      <c r="C73">
        <v>9</v>
      </c>
      <c r="D73">
        <v>0.277752</v>
      </c>
      <c r="E73">
        <f t="shared" si="8"/>
        <v>0.277752</v>
      </c>
      <c r="F73">
        <f t="shared" si="9"/>
        <v>0.66282737280000004</v>
      </c>
      <c r="G73" s="6">
        <f t="shared" si="10"/>
        <v>1.8671193600000003E-3</v>
      </c>
      <c r="H73">
        <f t="shared" si="11"/>
        <v>66.282737280000006</v>
      </c>
    </row>
    <row r="74" spans="1:8">
      <c r="A74">
        <f t="shared" si="7"/>
        <v>0.45</v>
      </c>
      <c r="B74">
        <v>18</v>
      </c>
      <c r="C74">
        <v>10</v>
      </c>
      <c r="D74">
        <v>0.287462</v>
      </c>
      <c r="E74">
        <f t="shared" si="8"/>
        <v>0.287462</v>
      </c>
      <c r="F74">
        <f t="shared" si="9"/>
        <v>0.68599931680000004</v>
      </c>
      <c r="G74" s="6">
        <f t="shared" si="10"/>
        <v>1.9323924416901408E-3</v>
      </c>
      <c r="H74">
        <f t="shared" si="11"/>
        <v>68.599931679999997</v>
      </c>
    </row>
    <row r="75" spans="1:8">
      <c r="A75">
        <f t="shared" si="7"/>
        <v>0.5</v>
      </c>
      <c r="B75">
        <v>20</v>
      </c>
      <c r="C75">
        <v>11</v>
      </c>
      <c r="D75">
        <v>0.19728399999999999</v>
      </c>
      <c r="E75">
        <f t="shared" si="8"/>
        <v>0.19728399999999999</v>
      </c>
      <c r="F75">
        <f t="shared" si="9"/>
        <v>0.47079853760000001</v>
      </c>
      <c r="G75" s="6">
        <f t="shared" si="10"/>
        <v>1.3261930636619718E-3</v>
      </c>
      <c r="H75">
        <f t="shared" si="11"/>
        <v>47.079853759999999</v>
      </c>
    </row>
    <row r="76" spans="1:8">
      <c r="A76">
        <f t="shared" si="7"/>
        <v>0.55000000000000004</v>
      </c>
      <c r="B76">
        <v>22</v>
      </c>
      <c r="C76">
        <v>12</v>
      </c>
      <c r="D76">
        <v>0.27271800000000002</v>
      </c>
      <c r="E76">
        <f t="shared" si="8"/>
        <v>0.27271800000000002</v>
      </c>
      <c r="F76">
        <f t="shared" si="9"/>
        <v>0.65081423520000004</v>
      </c>
      <c r="G76" s="6">
        <f t="shared" si="10"/>
        <v>1.8332795357746479E-3</v>
      </c>
      <c r="H76">
        <f t="shared" si="11"/>
        <v>65.081423520000001</v>
      </c>
    </row>
    <row r="77" spans="1:8">
      <c r="A77">
        <f t="shared" si="7"/>
        <v>0.6</v>
      </c>
      <c r="B77">
        <v>24</v>
      </c>
      <c r="C77">
        <v>13</v>
      </c>
      <c r="D77">
        <v>0.220609</v>
      </c>
      <c r="E77">
        <f t="shared" si="8"/>
        <v>0.220609</v>
      </c>
      <c r="F77">
        <f t="shared" si="9"/>
        <v>0.52646131760000003</v>
      </c>
      <c r="G77" s="6">
        <f t="shared" si="10"/>
        <v>1.4829896270422535E-3</v>
      </c>
      <c r="H77">
        <f t="shared" si="11"/>
        <v>52.646131759999996</v>
      </c>
    </row>
    <row r="78" spans="1:8">
      <c r="A78">
        <f t="shared" si="7"/>
        <v>0.65</v>
      </c>
      <c r="B78">
        <v>26</v>
      </c>
      <c r="C78">
        <v>14</v>
      </c>
      <c r="D78">
        <v>0.20388000000000001</v>
      </c>
      <c r="E78">
        <f t="shared" si="8"/>
        <v>0.20388000000000001</v>
      </c>
      <c r="F78">
        <f t="shared" si="9"/>
        <v>0.48653923200000004</v>
      </c>
      <c r="G78" s="6">
        <f t="shared" si="10"/>
        <v>1.3705330478873238E-3</v>
      </c>
      <c r="H78">
        <f t="shared" si="11"/>
        <v>48.653923199999994</v>
      </c>
    </row>
    <row r="79" spans="1:8">
      <c r="A79">
        <f t="shared" si="7"/>
        <v>0.7</v>
      </c>
      <c r="B79">
        <v>28</v>
      </c>
      <c r="C79">
        <v>15</v>
      </c>
      <c r="D79">
        <v>0.26756099999999999</v>
      </c>
      <c r="E79">
        <f t="shared" si="8"/>
        <v>0.26756099999999999</v>
      </c>
      <c r="F79">
        <f t="shared" si="9"/>
        <v>0.63850757040000006</v>
      </c>
      <c r="G79" s="6">
        <f t="shared" si="10"/>
        <v>1.7986128743661973E-3</v>
      </c>
      <c r="H79">
        <f t="shared" si="11"/>
        <v>63.850757039999998</v>
      </c>
    </row>
    <row r="80" spans="1:8">
      <c r="A80">
        <f t="shared" si="7"/>
        <v>0.75</v>
      </c>
      <c r="B80">
        <v>30</v>
      </c>
      <c r="C80">
        <v>16</v>
      </c>
      <c r="D80">
        <v>0.25588100000000003</v>
      </c>
      <c r="E80">
        <f t="shared" si="8"/>
        <v>0.25588100000000003</v>
      </c>
      <c r="F80">
        <f t="shared" si="9"/>
        <v>0.6106344184000001</v>
      </c>
      <c r="G80" s="6">
        <f t="shared" si="10"/>
        <v>1.720096953239437E-3</v>
      </c>
      <c r="H80">
        <f t="shared" si="11"/>
        <v>61.06344184000001</v>
      </c>
    </row>
    <row r="81" spans="1:9">
      <c r="A81">
        <f t="shared" si="7"/>
        <v>0.8</v>
      </c>
      <c r="B81">
        <v>32</v>
      </c>
      <c r="C81">
        <v>17</v>
      </c>
      <c r="D81">
        <v>0.25069599999999997</v>
      </c>
      <c r="E81">
        <f t="shared" si="8"/>
        <v>0.25069599999999997</v>
      </c>
      <c r="F81">
        <f t="shared" si="9"/>
        <v>0.59826093439999994</v>
      </c>
      <c r="G81" s="6">
        <f t="shared" si="10"/>
        <v>1.6852420687323941E-3</v>
      </c>
      <c r="H81">
        <f t="shared" si="11"/>
        <v>59.826093439999994</v>
      </c>
    </row>
    <row r="82" spans="1:9">
      <c r="A82">
        <f t="shared" si="7"/>
        <v>0.85</v>
      </c>
      <c r="B82">
        <v>34</v>
      </c>
      <c r="C82">
        <v>18</v>
      </c>
      <c r="D82">
        <v>0.25189299999999998</v>
      </c>
      <c r="E82">
        <f t="shared" si="8"/>
        <v>0.25189299999999998</v>
      </c>
      <c r="F82">
        <f t="shared" si="9"/>
        <v>0.60111745519999993</v>
      </c>
      <c r="G82" s="6">
        <f t="shared" si="10"/>
        <v>1.6932886061971828E-3</v>
      </c>
      <c r="H82">
        <f t="shared" si="11"/>
        <v>60.111745519999985</v>
      </c>
    </row>
    <row r="83" spans="1:9">
      <c r="A83">
        <f t="shared" si="7"/>
        <v>0.9</v>
      </c>
      <c r="B83">
        <v>36</v>
      </c>
      <c r="C83">
        <v>19</v>
      </c>
      <c r="D83">
        <v>0.25046099999999999</v>
      </c>
      <c r="E83">
        <f t="shared" si="8"/>
        <v>0.25046099999999999</v>
      </c>
      <c r="F83">
        <f t="shared" si="9"/>
        <v>0.59770013040000003</v>
      </c>
      <c r="G83" s="6">
        <f t="shared" si="10"/>
        <v>1.6836623391549297E-3</v>
      </c>
      <c r="H83">
        <f t="shared" si="11"/>
        <v>59.770013040000002</v>
      </c>
    </row>
    <row r="84" spans="1:9">
      <c r="A84">
        <f t="shared" si="7"/>
        <v>0.95</v>
      </c>
      <c r="B84">
        <v>38</v>
      </c>
      <c r="C84">
        <v>20</v>
      </c>
      <c r="D84">
        <v>0.198268</v>
      </c>
      <c r="E84">
        <f t="shared" si="8"/>
        <v>0.198268</v>
      </c>
      <c r="F84">
        <f t="shared" si="9"/>
        <v>0.47314675519999999</v>
      </c>
      <c r="G84" s="6">
        <f t="shared" si="10"/>
        <v>1.3328077611267607E-3</v>
      </c>
      <c r="H84">
        <f t="shared" si="11"/>
        <v>47.314675520000002</v>
      </c>
    </row>
    <row r="85" spans="1:9">
      <c r="A85">
        <f t="shared" si="7"/>
        <v>1</v>
      </c>
      <c r="B85">
        <v>40</v>
      </c>
      <c r="C85">
        <v>21</v>
      </c>
      <c r="D85">
        <v>0.20122399999999999</v>
      </c>
      <c r="E85">
        <f t="shared" si="8"/>
        <v>0.20122399999999999</v>
      </c>
      <c r="F85">
        <f t="shared" si="9"/>
        <v>0.48020095359999998</v>
      </c>
      <c r="G85" s="6">
        <f t="shared" si="10"/>
        <v>1.3526787425352112E-3</v>
      </c>
      <c r="H85">
        <f>G85*35.5*1000</f>
        <v>48.020095359999999</v>
      </c>
    </row>
    <row r="86" spans="1:9">
      <c r="A86">
        <f t="shared" si="7"/>
        <v>1.05</v>
      </c>
      <c r="B86">
        <v>42</v>
      </c>
      <c r="C86">
        <v>22</v>
      </c>
      <c r="D86">
        <v>0.209956</v>
      </c>
      <c r="E86">
        <f t="shared" si="8"/>
        <v>0.209956</v>
      </c>
      <c r="F86">
        <f t="shared" si="9"/>
        <v>0.50103899839999999</v>
      </c>
      <c r="G86" s="6">
        <f t="shared" si="10"/>
        <v>1.4113774602816901E-3</v>
      </c>
      <c r="H86">
        <f t="shared" ref="H86:H110" si="12">G86*35.5*1000</f>
        <v>50.103899839999997</v>
      </c>
    </row>
    <row r="87" spans="1:9">
      <c r="A87">
        <f t="shared" si="7"/>
        <v>1.1000000000000001</v>
      </c>
      <c r="B87">
        <v>44</v>
      </c>
      <c r="C87">
        <v>23</v>
      </c>
      <c r="D87">
        <v>0.242563</v>
      </c>
      <c r="E87">
        <f t="shared" si="8"/>
        <v>0.242563</v>
      </c>
      <c r="F87">
        <f t="shared" si="9"/>
        <v>0.57885234320000001</v>
      </c>
      <c r="G87" s="6">
        <f t="shared" si="10"/>
        <v>1.6305699808450704E-3</v>
      </c>
      <c r="H87">
        <f t="shared" si="12"/>
        <v>57.885234320000002</v>
      </c>
    </row>
    <row r="88" spans="1:9">
      <c r="A88" s="4">
        <f t="shared" si="7"/>
        <v>1.3</v>
      </c>
      <c r="B88" s="4">
        <f>B87+8</f>
        <v>52</v>
      </c>
      <c r="C88" s="4">
        <v>24</v>
      </c>
      <c r="D88" s="4">
        <v>3.1960229999999998</v>
      </c>
      <c r="E88" s="4">
        <f t="shared" si="8"/>
        <v>3.1960229999999998</v>
      </c>
      <c r="F88" s="4">
        <f>2.3206*E88</f>
        <v>7.4166909738000006</v>
      </c>
      <c r="G88" s="9">
        <f t="shared" si="10"/>
        <v>2.0892087250140846E-2</v>
      </c>
      <c r="H88" s="4">
        <f t="shared" si="12"/>
        <v>741.66909737999993</v>
      </c>
      <c r="I88">
        <v>65.808082999999996</v>
      </c>
    </row>
    <row r="89" spans="1:9">
      <c r="A89">
        <f t="shared" si="7"/>
        <v>1.5</v>
      </c>
      <c r="B89">
        <f t="shared" ref="B89:B110" si="13">B88+8</f>
        <v>60</v>
      </c>
      <c r="C89">
        <v>25</v>
      </c>
      <c r="D89">
        <v>4.6002679999999998</v>
      </c>
      <c r="E89">
        <f t="shared" si="8"/>
        <v>4.6002679999999998</v>
      </c>
      <c r="F89">
        <f t="shared" ref="F89:F110" si="14">2.3206*E89</f>
        <v>10.675381920800001</v>
      </c>
      <c r="G89" s="6">
        <f t="shared" si="10"/>
        <v>3.0071498368450706E-2</v>
      </c>
      <c r="H89">
        <f t="shared" si="12"/>
        <v>1067.53819208</v>
      </c>
    </row>
    <row r="90" spans="1:9">
      <c r="A90">
        <f t="shared" si="7"/>
        <v>1.7</v>
      </c>
      <c r="B90">
        <f t="shared" si="13"/>
        <v>68</v>
      </c>
      <c r="C90">
        <v>26</v>
      </c>
      <c r="D90">
        <v>6.035857</v>
      </c>
      <c r="E90">
        <f t="shared" si="8"/>
        <v>6.035857</v>
      </c>
      <c r="F90">
        <f t="shared" si="14"/>
        <v>14.006809754200001</v>
      </c>
      <c r="G90" s="6">
        <f t="shared" si="10"/>
        <v>3.9455802124507042E-2</v>
      </c>
      <c r="H90">
        <f t="shared" si="12"/>
        <v>1400.6809754200001</v>
      </c>
    </row>
    <row r="91" spans="1:9">
      <c r="A91">
        <f t="shared" si="7"/>
        <v>1.9</v>
      </c>
      <c r="B91">
        <f t="shared" si="13"/>
        <v>76</v>
      </c>
      <c r="C91">
        <v>27</v>
      </c>
      <c r="D91">
        <v>7.654712</v>
      </c>
      <c r="E91">
        <f t="shared" si="8"/>
        <v>7.654712</v>
      </c>
      <c r="F91">
        <f t="shared" si="14"/>
        <v>17.763524667200002</v>
      </c>
      <c r="G91" s="6">
        <f t="shared" si="10"/>
        <v>5.0038097654084512E-2</v>
      </c>
      <c r="H91">
        <f t="shared" si="12"/>
        <v>1776.3524667200002</v>
      </c>
    </row>
    <row r="92" spans="1:9">
      <c r="A92">
        <f t="shared" si="7"/>
        <v>2.1</v>
      </c>
      <c r="B92">
        <f t="shared" si="13"/>
        <v>84</v>
      </c>
      <c r="C92">
        <v>28</v>
      </c>
      <c r="D92">
        <v>11.014625000000001</v>
      </c>
      <c r="E92">
        <f t="shared" si="8"/>
        <v>11.014625000000001</v>
      </c>
      <c r="F92">
        <f t="shared" si="14"/>
        <v>25.560538775000005</v>
      </c>
      <c r="G92" s="6">
        <f t="shared" si="10"/>
        <v>7.2001517676056351E-2</v>
      </c>
      <c r="H92">
        <f t="shared" si="12"/>
        <v>2556.0538775000005</v>
      </c>
    </row>
    <row r="93" spans="1:9">
      <c r="A93">
        <f t="shared" si="7"/>
        <v>2.2999999999999998</v>
      </c>
      <c r="B93">
        <f t="shared" si="13"/>
        <v>92</v>
      </c>
      <c r="C93">
        <v>29</v>
      </c>
      <c r="D93">
        <v>15.592931</v>
      </c>
      <c r="E93">
        <f t="shared" si="8"/>
        <v>15.592931</v>
      </c>
      <c r="F93">
        <f t="shared" si="14"/>
        <v>36.184955678600005</v>
      </c>
      <c r="G93" s="6">
        <f t="shared" si="10"/>
        <v>0.10192945261577467</v>
      </c>
      <c r="H93">
        <f t="shared" si="12"/>
        <v>3618.4955678600008</v>
      </c>
    </row>
    <row r="94" spans="1:9">
      <c r="A94">
        <f t="shared" si="7"/>
        <v>2.5</v>
      </c>
      <c r="B94">
        <f t="shared" si="13"/>
        <v>100</v>
      </c>
      <c r="C94">
        <v>30</v>
      </c>
      <c r="D94">
        <v>22.028503000000001</v>
      </c>
      <c r="E94">
        <f t="shared" si="8"/>
        <v>22.028503000000001</v>
      </c>
      <c r="F94">
        <f t="shared" si="14"/>
        <v>51.119344061800007</v>
      </c>
      <c r="G94" s="6">
        <f t="shared" si="10"/>
        <v>0.14399815228676055</v>
      </c>
      <c r="H94">
        <f t="shared" si="12"/>
        <v>5111.9344061799993</v>
      </c>
    </row>
    <row r="95" spans="1:9">
      <c r="A95">
        <f t="shared" si="7"/>
        <v>2.7</v>
      </c>
      <c r="B95">
        <f t="shared" si="13"/>
        <v>108</v>
      </c>
      <c r="C95">
        <v>31</v>
      </c>
      <c r="D95">
        <v>26.726576999999999</v>
      </c>
      <c r="E95">
        <f t="shared" si="8"/>
        <v>26.726576999999999</v>
      </c>
      <c r="F95">
        <f t="shared" si="14"/>
        <v>62.021694586200006</v>
      </c>
      <c r="G95" s="6">
        <f t="shared" si="10"/>
        <v>0.17470899883436622</v>
      </c>
      <c r="H95">
        <f t="shared" si="12"/>
        <v>6202.169458620001</v>
      </c>
    </row>
    <row r="96" spans="1:9">
      <c r="A96">
        <f t="shared" si="7"/>
        <v>2.9</v>
      </c>
      <c r="B96">
        <f t="shared" si="13"/>
        <v>116</v>
      </c>
      <c r="C96">
        <v>32</v>
      </c>
      <c r="D96">
        <v>36.603338000000001</v>
      </c>
      <c r="E96">
        <f t="shared" si="8"/>
        <v>36.603338000000001</v>
      </c>
      <c r="F96">
        <f t="shared" si="14"/>
        <v>84.941706162800017</v>
      </c>
      <c r="G96" s="6">
        <f t="shared" si="10"/>
        <v>0.23927241172619726</v>
      </c>
      <c r="H96">
        <f t="shared" si="12"/>
        <v>8494.1706162800037</v>
      </c>
    </row>
    <row r="97" spans="1:8">
      <c r="A97">
        <f t="shared" si="7"/>
        <v>3.1</v>
      </c>
      <c r="B97">
        <f t="shared" si="13"/>
        <v>124</v>
      </c>
      <c r="C97">
        <v>33</v>
      </c>
      <c r="D97">
        <v>45.063000000000002</v>
      </c>
      <c r="E97">
        <f t="shared" si="8"/>
        <v>45.063000000000002</v>
      </c>
      <c r="F97">
        <f t="shared" si="14"/>
        <v>104.57319780000002</v>
      </c>
      <c r="G97" s="6">
        <f t="shared" si="10"/>
        <v>0.2945723881690141</v>
      </c>
      <c r="H97">
        <f t="shared" si="12"/>
        <v>10457.31978</v>
      </c>
    </row>
    <row r="98" spans="1:8">
      <c r="A98">
        <f t="shared" si="7"/>
        <v>3.3</v>
      </c>
      <c r="B98">
        <f t="shared" si="13"/>
        <v>132</v>
      </c>
      <c r="C98">
        <v>34</v>
      </c>
      <c r="D98">
        <v>49.844531000000003</v>
      </c>
      <c r="E98">
        <f t="shared" si="8"/>
        <v>49.844531000000003</v>
      </c>
      <c r="F98">
        <f t="shared" si="14"/>
        <v>115.66921863860001</v>
      </c>
      <c r="G98" s="6">
        <f t="shared" si="10"/>
        <v>0.32582878489746481</v>
      </c>
      <c r="H98">
        <f t="shared" si="12"/>
        <v>11566.921863860001</v>
      </c>
    </row>
    <row r="99" spans="1:8">
      <c r="A99">
        <f t="shared" si="7"/>
        <v>3.5</v>
      </c>
      <c r="B99">
        <f t="shared" si="13"/>
        <v>140</v>
      </c>
      <c r="C99">
        <v>35</v>
      </c>
      <c r="D99">
        <v>51.67089</v>
      </c>
      <c r="E99">
        <f t="shared" si="8"/>
        <v>51.67089</v>
      </c>
      <c r="F99">
        <f t="shared" si="14"/>
        <v>119.90746733400002</v>
      </c>
      <c r="G99" s="6">
        <f t="shared" si="10"/>
        <v>0.33776751361690144</v>
      </c>
      <c r="H99">
        <f t="shared" si="12"/>
        <v>11990.746733400001</v>
      </c>
    </row>
    <row r="100" spans="1:8">
      <c r="A100">
        <f t="shared" si="7"/>
        <v>3.7</v>
      </c>
      <c r="B100">
        <f t="shared" si="13"/>
        <v>148</v>
      </c>
      <c r="C100">
        <v>36</v>
      </c>
      <c r="D100">
        <v>46.959783999999999</v>
      </c>
      <c r="E100">
        <f t="shared" si="8"/>
        <v>46.959783999999999</v>
      </c>
      <c r="F100">
        <f t="shared" si="14"/>
        <v>108.97487475040001</v>
      </c>
      <c r="G100" s="6">
        <f t="shared" si="10"/>
        <v>0.30697147817014087</v>
      </c>
      <c r="H100">
        <f t="shared" si="12"/>
        <v>10897.487475039999</v>
      </c>
    </row>
    <row r="101" spans="1:8">
      <c r="A101">
        <f t="shared" si="7"/>
        <v>3.9</v>
      </c>
      <c r="B101">
        <f t="shared" si="13"/>
        <v>156</v>
      </c>
      <c r="C101">
        <v>37</v>
      </c>
      <c r="D101">
        <v>61.245761999999999</v>
      </c>
      <c r="E101">
        <f t="shared" si="8"/>
        <v>61.245761999999999</v>
      </c>
      <c r="F101">
        <f t="shared" si="14"/>
        <v>142.12691529720001</v>
      </c>
      <c r="G101" s="6">
        <f t="shared" si="10"/>
        <v>0.40035750787943664</v>
      </c>
      <c r="H101">
        <f t="shared" si="12"/>
        <v>14212.691529720001</v>
      </c>
    </row>
    <row r="102" spans="1:8">
      <c r="A102">
        <f t="shared" si="7"/>
        <v>4.0999999999999996</v>
      </c>
      <c r="B102">
        <f t="shared" si="13"/>
        <v>164</v>
      </c>
      <c r="C102">
        <v>38</v>
      </c>
      <c r="D102">
        <v>26.791799000000001</v>
      </c>
      <c r="E102">
        <f t="shared" si="8"/>
        <v>26.791799000000001</v>
      </c>
      <c r="F102">
        <f t="shared" si="14"/>
        <v>62.173048759400011</v>
      </c>
      <c r="G102" s="6">
        <f t="shared" si="10"/>
        <v>0.17513534861802818</v>
      </c>
      <c r="H102">
        <f t="shared" si="12"/>
        <v>6217.3048759399999</v>
      </c>
    </row>
    <row r="103" spans="1:8">
      <c r="A103">
        <f t="shared" si="7"/>
        <v>4.3</v>
      </c>
      <c r="B103">
        <f t="shared" si="13"/>
        <v>172</v>
      </c>
      <c r="C103">
        <v>39</v>
      </c>
      <c r="D103">
        <v>56.355102000000002</v>
      </c>
      <c r="E103">
        <f t="shared" si="8"/>
        <v>56.355102000000002</v>
      </c>
      <c r="F103">
        <f t="shared" si="14"/>
        <v>130.7776497012</v>
      </c>
      <c r="G103" s="6">
        <f t="shared" si="10"/>
        <v>0.36838774563718313</v>
      </c>
      <c r="H103">
        <f t="shared" si="12"/>
        <v>13077.764970120001</v>
      </c>
    </row>
    <row r="104" spans="1:8">
      <c r="A104">
        <f t="shared" si="7"/>
        <v>4.5</v>
      </c>
      <c r="B104">
        <f t="shared" si="13"/>
        <v>180</v>
      </c>
      <c r="C104">
        <v>40</v>
      </c>
      <c r="D104">
        <v>48.743628000000001</v>
      </c>
      <c r="E104">
        <f t="shared" si="8"/>
        <v>48.743628000000001</v>
      </c>
      <c r="F104">
        <f t="shared" si="14"/>
        <v>113.11446313680001</v>
      </c>
      <c r="G104" s="6">
        <f t="shared" si="10"/>
        <v>0.31863229052619724</v>
      </c>
      <c r="H104">
        <f t="shared" si="12"/>
        <v>11311.44631368</v>
      </c>
    </row>
    <row r="105" spans="1:8">
      <c r="A105">
        <f t="shared" si="7"/>
        <v>4.7</v>
      </c>
      <c r="B105">
        <f t="shared" si="13"/>
        <v>188</v>
      </c>
      <c r="C105">
        <v>41</v>
      </c>
      <c r="D105">
        <v>66.432468</v>
      </c>
      <c r="E105">
        <f t="shared" si="8"/>
        <v>66.432468</v>
      </c>
      <c r="F105">
        <f t="shared" si="14"/>
        <v>154.1631852408</v>
      </c>
      <c r="G105" s="6">
        <f t="shared" si="10"/>
        <v>0.4342624936360564</v>
      </c>
      <c r="H105">
        <f t="shared" si="12"/>
        <v>15416.318524080003</v>
      </c>
    </row>
    <row r="106" spans="1:8">
      <c r="A106">
        <f t="shared" si="7"/>
        <v>4.9000000000000004</v>
      </c>
      <c r="B106">
        <f t="shared" si="13"/>
        <v>196</v>
      </c>
      <c r="C106">
        <v>42</v>
      </c>
      <c r="D106">
        <v>57.267408000000003</v>
      </c>
      <c r="E106">
        <f t="shared" si="8"/>
        <v>57.267408000000003</v>
      </c>
      <c r="F106">
        <f t="shared" si="14"/>
        <v>132.89474700480002</v>
      </c>
      <c r="G106" s="6">
        <f t="shared" si="10"/>
        <v>0.37435140001352118</v>
      </c>
      <c r="H106">
        <f t="shared" si="12"/>
        <v>13289.474700480001</v>
      </c>
    </row>
    <row r="107" spans="1:8">
      <c r="A107">
        <f t="shared" si="7"/>
        <v>5.0999999999999996</v>
      </c>
      <c r="B107">
        <f t="shared" si="13"/>
        <v>204</v>
      </c>
      <c r="C107">
        <v>43</v>
      </c>
      <c r="D107">
        <v>31.235880000000002</v>
      </c>
      <c r="E107">
        <f t="shared" si="8"/>
        <v>31.235880000000002</v>
      </c>
      <c r="F107">
        <f t="shared" si="14"/>
        <v>72.485983128000015</v>
      </c>
      <c r="G107" s="6">
        <f t="shared" si="10"/>
        <v>0.20418586796619723</v>
      </c>
      <c r="H107">
        <f t="shared" si="12"/>
        <v>7248.5983128000016</v>
      </c>
    </row>
    <row r="108" spans="1:8">
      <c r="A108">
        <f t="shared" si="7"/>
        <v>5.3</v>
      </c>
      <c r="B108">
        <f t="shared" si="13"/>
        <v>212</v>
      </c>
      <c r="C108">
        <v>44</v>
      </c>
      <c r="D108">
        <v>42.011139</v>
      </c>
      <c r="E108">
        <f t="shared" si="8"/>
        <v>42.011139</v>
      </c>
      <c r="F108">
        <f t="shared" si="14"/>
        <v>97.491049163400007</v>
      </c>
      <c r="G108" s="6">
        <f t="shared" si="10"/>
        <v>0.27462267369971827</v>
      </c>
      <c r="H108">
        <f t="shared" si="12"/>
        <v>9749.1049163399985</v>
      </c>
    </row>
    <row r="109" spans="1:8">
      <c r="A109">
        <f t="shared" si="7"/>
        <v>5.5</v>
      </c>
      <c r="B109">
        <f t="shared" si="13"/>
        <v>220</v>
      </c>
      <c r="C109">
        <v>45</v>
      </c>
      <c r="D109">
        <v>67.965204999999997</v>
      </c>
      <c r="E109">
        <f t="shared" si="8"/>
        <v>67.965204999999997</v>
      </c>
      <c r="F109">
        <f t="shared" si="14"/>
        <v>157.720054723</v>
      </c>
      <c r="G109" s="6">
        <f t="shared" si="10"/>
        <v>0.44428184429014089</v>
      </c>
      <c r="H109">
        <f t="shared" si="12"/>
        <v>15772.005472300001</v>
      </c>
    </row>
    <row r="110" spans="1:8">
      <c r="A110">
        <f t="shared" si="7"/>
        <v>5.7</v>
      </c>
      <c r="B110">
        <f t="shared" si="13"/>
        <v>228</v>
      </c>
      <c r="C110">
        <v>46</v>
      </c>
      <c r="D110">
        <v>41.635044000000001</v>
      </c>
      <c r="E110">
        <f t="shared" si="8"/>
        <v>41.635044000000001</v>
      </c>
      <c r="F110">
        <f t="shared" si="14"/>
        <v>96.618283106400014</v>
      </c>
      <c r="G110" s="6">
        <f t="shared" si="10"/>
        <v>0.27216417776450708</v>
      </c>
      <c r="H110">
        <f t="shared" si="12"/>
        <v>9661.8283106400013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EDBB-F4BD-4C9E-B66D-4FE2B561B304}">
  <dimension ref="A1:L110"/>
  <sheetViews>
    <sheetView topLeftCell="C73" workbookViewId="0">
      <selection activeCell="R32" sqref="R32"/>
    </sheetView>
  </sheetViews>
  <sheetFormatPr defaultRowHeight="14.5"/>
  <cols>
    <col min="4" max="4" width="18.90625" customWidth="1"/>
    <col min="5" max="5" width="15.7265625" customWidth="1"/>
    <col min="6" max="6" width="17.36328125" style="6" customWidth="1"/>
    <col min="7" max="7" width="13.453125" customWidth="1"/>
    <col min="8" max="8" width="14.1796875" customWidth="1"/>
    <col min="9" max="9" width="17.453125" customWidth="1"/>
    <col min="12" max="12" width="15.453125" customWidth="1"/>
  </cols>
  <sheetData>
    <row r="1" spans="1:10">
      <c r="A1" t="s">
        <v>33</v>
      </c>
      <c r="H1" t="s">
        <v>20</v>
      </c>
      <c r="I1" t="s">
        <v>21</v>
      </c>
    </row>
    <row r="2" spans="1:10">
      <c r="A2" t="s">
        <v>5</v>
      </c>
      <c r="B2" t="s">
        <v>0</v>
      </c>
      <c r="C2" t="s">
        <v>1</v>
      </c>
      <c r="D2" s="6"/>
      <c r="E2" t="s">
        <v>4</v>
      </c>
      <c r="F2" t="s">
        <v>0</v>
      </c>
      <c r="G2" t="s">
        <v>1</v>
      </c>
      <c r="H2">
        <v>0.09</v>
      </c>
      <c r="I2">
        <v>0</v>
      </c>
    </row>
    <row r="3" spans="1:10">
      <c r="B3" s="4">
        <v>0</v>
      </c>
      <c r="C3">
        <v>0</v>
      </c>
      <c r="D3" s="6"/>
      <c r="F3" s="4">
        <v>0</v>
      </c>
      <c r="G3">
        <v>0</v>
      </c>
    </row>
    <row r="4" spans="1:10">
      <c r="B4" s="4">
        <v>1.2476499999999999</v>
      </c>
      <c r="C4">
        <v>5</v>
      </c>
      <c r="D4" s="6"/>
      <c r="F4" s="3">
        <v>0.32322200000000001</v>
      </c>
      <c r="G4">
        <v>1</v>
      </c>
    </row>
    <row r="5" spans="1:10">
      <c r="B5" s="4">
        <v>2.5257749999999999</v>
      </c>
      <c r="C5">
        <v>10</v>
      </c>
      <c r="D5" s="6"/>
      <c r="F5" s="3">
        <v>1.7661309999999999</v>
      </c>
      <c r="G5">
        <v>5</v>
      </c>
    </row>
    <row r="6" spans="1:10">
      <c r="B6" s="4">
        <v>3.9033180000000001</v>
      </c>
      <c r="C6">
        <v>15</v>
      </c>
      <c r="D6" s="6"/>
      <c r="F6" s="3">
        <v>3.849869</v>
      </c>
      <c r="G6">
        <v>10</v>
      </c>
    </row>
    <row r="7" spans="1:10">
      <c r="B7" s="4">
        <v>6.6340060000000003</v>
      </c>
      <c r="C7">
        <v>25</v>
      </c>
      <c r="D7" s="6"/>
      <c r="F7" s="3">
        <v>8.1827179999999995</v>
      </c>
      <c r="G7">
        <v>20</v>
      </c>
    </row>
    <row r="8" spans="1:10">
      <c r="B8" s="3"/>
      <c r="D8" s="6"/>
      <c r="F8" s="3">
        <v>43.232191999999998</v>
      </c>
      <c r="G8">
        <v>100</v>
      </c>
    </row>
    <row r="12" spans="1:10">
      <c r="D12" t="s">
        <v>5</v>
      </c>
    </row>
    <row r="13" spans="1:10">
      <c r="A13" t="s">
        <v>10</v>
      </c>
      <c r="B13" t="s">
        <v>18</v>
      </c>
      <c r="C13" t="s">
        <v>17</v>
      </c>
      <c r="D13" t="s">
        <v>0</v>
      </c>
      <c r="E13" t="s">
        <v>22</v>
      </c>
      <c r="F13" t="s">
        <v>3</v>
      </c>
      <c r="G13" s="6" t="s">
        <v>16</v>
      </c>
      <c r="H13" s="1" t="s">
        <v>13</v>
      </c>
      <c r="J13" s="2"/>
    </row>
    <row r="14" spans="1:10">
      <c r="A14">
        <f>B14/40</f>
        <v>0</v>
      </c>
      <c r="B14">
        <v>0</v>
      </c>
      <c r="C14">
        <v>0</v>
      </c>
      <c r="D14">
        <v>0</v>
      </c>
      <c r="E14">
        <f>D14-$H$2</f>
        <v>-0.09</v>
      </c>
      <c r="F14">
        <f>3.4695*D14</f>
        <v>0</v>
      </c>
      <c r="G14" s="6">
        <f>F14*20/96/1000</f>
        <v>0</v>
      </c>
      <c r="H14">
        <f>G14*96*1000</f>
        <v>0</v>
      </c>
    </row>
    <row r="15" spans="1:10">
      <c r="A15">
        <f>B15/40</f>
        <v>0</v>
      </c>
      <c r="B15">
        <v>0</v>
      </c>
      <c r="C15">
        <v>1</v>
      </c>
      <c r="D15">
        <v>132.308087</v>
      </c>
      <c r="E15">
        <f t="shared" ref="E15:E60" si="0">D15-$H$2</f>
        <v>132.218087</v>
      </c>
      <c r="F15">
        <f>3.9722*E15</f>
        <v>525.19668518139997</v>
      </c>
      <c r="G15" s="6">
        <f>F15*100/96/1000</f>
        <v>0.54707988039729161</v>
      </c>
      <c r="H15">
        <f t="shared" ref="H15:H60" si="1">G15*96*1000</f>
        <v>52519.668518139995</v>
      </c>
    </row>
    <row r="16" spans="1:10">
      <c r="A16">
        <f t="shared" ref="A16:A60" si="2">B16/40</f>
        <v>0.05</v>
      </c>
      <c r="B16">
        <v>2</v>
      </c>
      <c r="C16">
        <v>2</v>
      </c>
      <c r="D16">
        <v>123.303995</v>
      </c>
      <c r="E16">
        <f t="shared" si="0"/>
        <v>123.213995</v>
      </c>
      <c r="F16">
        <f t="shared" ref="F16:F38" si="3">3.9722*E16</f>
        <v>489.43063093899997</v>
      </c>
      <c r="G16" s="6">
        <f t="shared" ref="G16:G60" si="4">F16*100/96/1000</f>
        <v>0.5098235738947916</v>
      </c>
      <c r="H16">
        <f t="shared" si="1"/>
        <v>48943.063093899997</v>
      </c>
    </row>
    <row r="17" spans="1:9">
      <c r="A17">
        <f t="shared" si="2"/>
        <v>0.1</v>
      </c>
      <c r="B17">
        <v>4</v>
      </c>
      <c r="C17">
        <v>3</v>
      </c>
      <c r="D17">
        <v>137.27032500000001</v>
      </c>
      <c r="E17">
        <f t="shared" si="0"/>
        <v>137.18032500000001</v>
      </c>
      <c r="F17">
        <f t="shared" si="3"/>
        <v>544.90768696500004</v>
      </c>
      <c r="G17" s="6">
        <f t="shared" si="4"/>
        <v>0.56761217392187502</v>
      </c>
      <c r="H17">
        <f t="shared" si="1"/>
        <v>54490.768696499996</v>
      </c>
    </row>
    <row r="18" spans="1:9">
      <c r="A18">
        <f t="shared" si="2"/>
        <v>0.15</v>
      </c>
      <c r="B18">
        <v>6</v>
      </c>
      <c r="C18">
        <v>4</v>
      </c>
      <c r="D18">
        <v>121.479685</v>
      </c>
      <c r="E18">
        <f t="shared" si="0"/>
        <v>121.389685</v>
      </c>
      <c r="F18">
        <f t="shared" si="3"/>
        <v>482.184106757</v>
      </c>
      <c r="G18" s="6">
        <f t="shared" si="4"/>
        <v>0.50227511120520829</v>
      </c>
      <c r="H18">
        <f t="shared" si="1"/>
        <v>48218.410675699997</v>
      </c>
    </row>
    <row r="19" spans="1:9">
      <c r="A19">
        <f t="shared" si="2"/>
        <v>0.2</v>
      </c>
      <c r="B19">
        <v>8</v>
      </c>
      <c r="C19">
        <v>5</v>
      </c>
      <c r="D19">
        <v>111.90052</v>
      </c>
      <c r="E19">
        <f t="shared" si="0"/>
        <v>111.81052</v>
      </c>
      <c r="F19">
        <f t="shared" si="3"/>
        <v>444.13374754399996</v>
      </c>
      <c r="G19" s="6">
        <f t="shared" si="4"/>
        <v>0.46263932035833322</v>
      </c>
      <c r="H19">
        <f t="shared" si="1"/>
        <v>44413.374754399985</v>
      </c>
    </row>
    <row r="20" spans="1:9">
      <c r="A20">
        <f t="shared" si="2"/>
        <v>0.25</v>
      </c>
      <c r="B20">
        <v>10</v>
      </c>
      <c r="C20">
        <v>6</v>
      </c>
      <c r="D20">
        <v>127.29295999999999</v>
      </c>
      <c r="E20">
        <f t="shared" si="0"/>
        <v>127.20295999999999</v>
      </c>
      <c r="F20">
        <f t="shared" si="3"/>
        <v>505.27559771199998</v>
      </c>
      <c r="G20" s="6">
        <f t="shared" si="4"/>
        <v>0.52632874761666659</v>
      </c>
      <c r="H20">
        <f t="shared" si="1"/>
        <v>50527.559771199987</v>
      </c>
    </row>
    <row r="21" spans="1:9">
      <c r="A21">
        <f t="shared" si="2"/>
        <v>0.3</v>
      </c>
      <c r="B21">
        <v>12</v>
      </c>
      <c r="C21">
        <v>7</v>
      </c>
      <c r="D21">
        <v>108.911134</v>
      </c>
      <c r="E21">
        <f t="shared" si="0"/>
        <v>108.821134</v>
      </c>
      <c r="F21">
        <f t="shared" si="3"/>
        <v>432.25930847479998</v>
      </c>
      <c r="G21" s="6">
        <f t="shared" si="4"/>
        <v>0.4502701129945833</v>
      </c>
      <c r="H21">
        <f t="shared" si="1"/>
        <v>43225.930847479998</v>
      </c>
    </row>
    <row r="22" spans="1:9">
      <c r="A22">
        <f t="shared" si="2"/>
        <v>0.35</v>
      </c>
      <c r="B22">
        <v>14</v>
      </c>
      <c r="C22">
        <v>8</v>
      </c>
      <c r="D22">
        <v>111.48369599999999</v>
      </c>
      <c r="E22">
        <f t="shared" si="0"/>
        <v>111.39369599999999</v>
      </c>
      <c r="F22">
        <f t="shared" si="3"/>
        <v>442.47803925119996</v>
      </c>
      <c r="G22" s="6">
        <f t="shared" si="4"/>
        <v>0.46091462421999996</v>
      </c>
      <c r="H22">
        <f t="shared" si="1"/>
        <v>44247.803925119995</v>
      </c>
    </row>
    <row r="23" spans="1:9">
      <c r="A23">
        <f t="shared" si="2"/>
        <v>0.4</v>
      </c>
      <c r="B23">
        <v>16</v>
      </c>
      <c r="C23">
        <v>9</v>
      </c>
      <c r="D23">
        <v>102.024263</v>
      </c>
      <c r="E23">
        <f t="shared" si="0"/>
        <v>101.934263</v>
      </c>
      <c r="F23">
        <f t="shared" si="3"/>
        <v>404.90327948859999</v>
      </c>
      <c r="G23" s="6">
        <f t="shared" si="4"/>
        <v>0.4217742494672917</v>
      </c>
      <c r="H23">
        <f t="shared" si="1"/>
        <v>40490.327948860002</v>
      </c>
    </row>
    <row r="24" spans="1:9">
      <c r="A24">
        <f t="shared" si="2"/>
        <v>0.45</v>
      </c>
      <c r="B24">
        <v>18</v>
      </c>
      <c r="C24">
        <v>10</v>
      </c>
      <c r="D24">
        <v>96.790741999999995</v>
      </c>
      <c r="E24">
        <f t="shared" si="0"/>
        <v>96.700741999999991</v>
      </c>
      <c r="F24">
        <f t="shared" si="3"/>
        <v>384.11468737239994</v>
      </c>
      <c r="G24" s="6">
        <f t="shared" si="4"/>
        <v>0.40011946601291659</v>
      </c>
      <c r="H24">
        <f t="shared" si="1"/>
        <v>38411.468737239993</v>
      </c>
    </row>
    <row r="25" spans="1:9">
      <c r="A25">
        <f t="shared" si="2"/>
        <v>0.5</v>
      </c>
      <c r="B25">
        <v>20</v>
      </c>
      <c r="C25">
        <v>11</v>
      </c>
      <c r="D25">
        <v>88.001103999999998</v>
      </c>
      <c r="E25">
        <f t="shared" si="0"/>
        <v>87.911103999999995</v>
      </c>
      <c r="F25">
        <f t="shared" si="3"/>
        <v>349.20048730879995</v>
      </c>
      <c r="G25" s="6">
        <f t="shared" si="4"/>
        <v>0.36375050761333322</v>
      </c>
      <c r="H25">
        <f t="shared" si="1"/>
        <v>34920.048730879993</v>
      </c>
    </row>
    <row r="26" spans="1:9">
      <c r="A26">
        <f t="shared" si="2"/>
        <v>0.55000000000000004</v>
      </c>
      <c r="B26">
        <v>22</v>
      </c>
      <c r="C26">
        <v>12</v>
      </c>
      <c r="D26">
        <v>86.260026999999994</v>
      </c>
      <c r="E26">
        <f t="shared" si="0"/>
        <v>86.17002699999999</v>
      </c>
      <c r="F26">
        <f t="shared" si="3"/>
        <v>342.28458124939993</v>
      </c>
      <c r="G26" s="6">
        <f t="shared" si="4"/>
        <v>0.35654643880145825</v>
      </c>
      <c r="H26">
        <f t="shared" si="1"/>
        <v>34228.458124939993</v>
      </c>
      <c r="I26" s="2"/>
    </row>
    <row r="27" spans="1:9">
      <c r="A27">
        <f t="shared" si="2"/>
        <v>0.6</v>
      </c>
      <c r="B27">
        <v>24</v>
      </c>
      <c r="C27">
        <v>13</v>
      </c>
      <c r="D27">
        <v>81.363376000000002</v>
      </c>
      <c r="E27">
        <f t="shared" si="0"/>
        <v>81.273375999999999</v>
      </c>
      <c r="F27">
        <f t="shared" si="3"/>
        <v>322.83410414719998</v>
      </c>
      <c r="G27" s="6">
        <f t="shared" si="4"/>
        <v>0.33628552515333332</v>
      </c>
      <c r="H27">
        <f t="shared" si="1"/>
        <v>32283.410414719994</v>
      </c>
      <c r="I27" s="2"/>
    </row>
    <row r="28" spans="1:9">
      <c r="A28">
        <f t="shared" si="2"/>
        <v>0.65</v>
      </c>
      <c r="B28">
        <v>26</v>
      </c>
      <c r="C28">
        <v>14</v>
      </c>
      <c r="D28">
        <v>79.344596999999993</v>
      </c>
      <c r="E28">
        <f t="shared" si="0"/>
        <v>79.25459699999999</v>
      </c>
      <c r="F28">
        <f t="shared" si="3"/>
        <v>314.81511020339997</v>
      </c>
      <c r="G28" s="6">
        <f t="shared" si="4"/>
        <v>0.32793240646187494</v>
      </c>
      <c r="H28">
        <f t="shared" si="1"/>
        <v>31481.511020339993</v>
      </c>
    </row>
    <row r="29" spans="1:9">
      <c r="A29">
        <f t="shared" si="2"/>
        <v>0.7</v>
      </c>
      <c r="B29">
        <v>28</v>
      </c>
      <c r="C29">
        <v>15</v>
      </c>
      <c r="D29">
        <v>75.503069999999994</v>
      </c>
      <c r="E29">
        <f t="shared" si="0"/>
        <v>75.413069999999991</v>
      </c>
      <c r="F29">
        <f t="shared" si="3"/>
        <v>299.55579665399995</v>
      </c>
      <c r="G29" s="6">
        <f t="shared" si="4"/>
        <v>0.31203728818124993</v>
      </c>
      <c r="H29">
        <f t="shared" si="1"/>
        <v>29955.579665399993</v>
      </c>
    </row>
    <row r="30" spans="1:9">
      <c r="A30">
        <f t="shared" si="2"/>
        <v>0.75</v>
      </c>
      <c r="B30">
        <v>30</v>
      </c>
      <c r="C30">
        <v>16</v>
      </c>
      <c r="D30">
        <v>74.658655999999993</v>
      </c>
      <c r="E30">
        <f t="shared" si="0"/>
        <v>74.56865599999999</v>
      </c>
      <c r="F30">
        <f t="shared" si="3"/>
        <v>296.20161536319995</v>
      </c>
      <c r="G30" s="6">
        <f t="shared" si="4"/>
        <v>0.30854334933666661</v>
      </c>
      <c r="H30">
        <f t="shared" si="1"/>
        <v>29620.161536319993</v>
      </c>
    </row>
    <row r="31" spans="1:9">
      <c r="A31">
        <f t="shared" si="2"/>
        <v>0.8</v>
      </c>
      <c r="B31">
        <v>32</v>
      </c>
      <c r="C31">
        <v>17</v>
      </c>
      <c r="D31">
        <v>66.703755999999998</v>
      </c>
      <c r="E31">
        <f t="shared" si="0"/>
        <v>66.613755999999995</v>
      </c>
      <c r="F31">
        <f t="shared" si="3"/>
        <v>264.60316158320001</v>
      </c>
      <c r="G31" s="6">
        <f t="shared" si="4"/>
        <v>0.27562829331583333</v>
      </c>
      <c r="H31">
        <f t="shared" si="1"/>
        <v>26460.316158319998</v>
      </c>
    </row>
    <row r="32" spans="1:9">
      <c r="A32">
        <f t="shared" si="2"/>
        <v>0.85</v>
      </c>
      <c r="B32">
        <v>34</v>
      </c>
      <c r="C32">
        <v>18</v>
      </c>
      <c r="D32">
        <v>69.520236999999995</v>
      </c>
      <c r="E32">
        <f t="shared" si="0"/>
        <v>69.430236999999991</v>
      </c>
      <c r="F32">
        <f t="shared" si="3"/>
        <v>275.79078741139995</v>
      </c>
      <c r="G32" s="6">
        <f t="shared" si="4"/>
        <v>0.28728207022020824</v>
      </c>
      <c r="H32">
        <f t="shared" si="1"/>
        <v>27579.078741139991</v>
      </c>
    </row>
    <row r="33" spans="1:12">
      <c r="A33">
        <f t="shared" si="2"/>
        <v>0.9</v>
      </c>
      <c r="B33">
        <v>36</v>
      </c>
      <c r="C33">
        <v>19</v>
      </c>
      <c r="D33">
        <v>67.081847999999994</v>
      </c>
      <c r="E33">
        <f t="shared" si="0"/>
        <v>66.99184799999999</v>
      </c>
      <c r="F33">
        <f t="shared" si="3"/>
        <v>266.10501862559994</v>
      </c>
      <c r="G33" s="6">
        <f t="shared" si="4"/>
        <v>0.27719272773499992</v>
      </c>
      <c r="H33">
        <f t="shared" si="1"/>
        <v>26610.501862559991</v>
      </c>
    </row>
    <row r="34" spans="1:12">
      <c r="A34">
        <f t="shared" si="2"/>
        <v>0.95</v>
      </c>
      <c r="B34">
        <v>38</v>
      </c>
      <c r="C34">
        <v>20</v>
      </c>
      <c r="D34">
        <v>65.676828999999998</v>
      </c>
      <c r="E34">
        <f t="shared" si="0"/>
        <v>65.586828999999994</v>
      </c>
      <c r="F34">
        <f t="shared" si="3"/>
        <v>260.52400215379998</v>
      </c>
      <c r="G34" s="6">
        <f t="shared" si="4"/>
        <v>0.2713791689102083</v>
      </c>
      <c r="H34">
        <f t="shared" si="1"/>
        <v>26052.400215379996</v>
      </c>
    </row>
    <row r="35" spans="1:12">
      <c r="A35">
        <f t="shared" si="2"/>
        <v>1</v>
      </c>
      <c r="B35">
        <v>40</v>
      </c>
      <c r="C35">
        <v>21</v>
      </c>
      <c r="D35">
        <v>69.86694</v>
      </c>
      <c r="E35">
        <f t="shared" si="0"/>
        <v>69.776939999999996</v>
      </c>
      <c r="F35">
        <f t="shared" si="3"/>
        <v>277.16796106799995</v>
      </c>
      <c r="G35" s="6">
        <f t="shared" si="4"/>
        <v>0.28871662611249999</v>
      </c>
      <c r="H35">
        <f t="shared" si="1"/>
        <v>27716.796106799997</v>
      </c>
    </row>
    <row r="36" spans="1:12">
      <c r="A36">
        <f t="shared" si="2"/>
        <v>1.05</v>
      </c>
      <c r="B36">
        <v>42</v>
      </c>
      <c r="C36">
        <v>22</v>
      </c>
      <c r="D36">
        <v>67.990661000000003</v>
      </c>
      <c r="E36">
        <f t="shared" si="0"/>
        <v>67.900660999999999</v>
      </c>
      <c r="F36">
        <f t="shared" si="3"/>
        <v>269.71500562419999</v>
      </c>
      <c r="G36" s="6">
        <f t="shared" si="4"/>
        <v>0.28095313085854168</v>
      </c>
      <c r="H36">
        <f t="shared" si="1"/>
        <v>26971.500562420002</v>
      </c>
      <c r="L36">
        <v>520</v>
      </c>
    </row>
    <row r="37" spans="1:12">
      <c r="A37">
        <f t="shared" si="2"/>
        <v>1.1000000000000001</v>
      </c>
      <c r="B37">
        <v>44</v>
      </c>
      <c r="C37">
        <v>23</v>
      </c>
      <c r="D37">
        <v>68.998093999999995</v>
      </c>
      <c r="E37">
        <f t="shared" si="0"/>
        <v>68.908093999999991</v>
      </c>
      <c r="F37">
        <f t="shared" si="3"/>
        <v>273.71673098679997</v>
      </c>
      <c r="G37" s="6">
        <f t="shared" si="4"/>
        <v>0.28512159477791665</v>
      </c>
      <c r="H37">
        <f t="shared" si="1"/>
        <v>27371.673098679999</v>
      </c>
    </row>
    <row r="38" spans="1:12">
      <c r="A38">
        <f t="shared" si="2"/>
        <v>1.3</v>
      </c>
      <c r="B38">
        <f>B37+8</f>
        <v>52</v>
      </c>
      <c r="C38">
        <v>24</v>
      </c>
      <c r="D38">
        <v>50.444974000000002</v>
      </c>
      <c r="E38">
        <f t="shared" si="0"/>
        <v>50.354973999999999</v>
      </c>
      <c r="F38">
        <f t="shared" si="3"/>
        <v>200.02002772279999</v>
      </c>
      <c r="G38" s="6">
        <f t="shared" si="4"/>
        <v>0.20835419554458334</v>
      </c>
      <c r="H38">
        <f t="shared" si="1"/>
        <v>20002.00277228</v>
      </c>
    </row>
    <row r="39" spans="1:12">
      <c r="A39">
        <f t="shared" si="2"/>
        <v>1.5</v>
      </c>
      <c r="B39">
        <f t="shared" ref="B39:B60" si="5">B38+8</f>
        <v>60</v>
      </c>
      <c r="C39">
        <v>25</v>
      </c>
      <c r="D39">
        <v>31.202824</v>
      </c>
      <c r="E39">
        <f t="shared" si="0"/>
        <v>31.112824</v>
      </c>
      <c r="F39">
        <f>3.809*E39</f>
        <v>118.50874661600001</v>
      </c>
      <c r="G39" s="6">
        <f t="shared" si="4"/>
        <v>0.12344661105833335</v>
      </c>
      <c r="H39">
        <f t="shared" si="1"/>
        <v>11850.874661600003</v>
      </c>
    </row>
    <row r="40" spans="1:12">
      <c r="A40">
        <f t="shared" si="2"/>
        <v>1.7</v>
      </c>
      <c r="B40">
        <f t="shared" si="5"/>
        <v>68</v>
      </c>
      <c r="C40">
        <v>26</v>
      </c>
      <c r="D40">
        <v>19.486813999999999</v>
      </c>
      <c r="E40">
        <f t="shared" si="0"/>
        <v>19.396813999999999</v>
      </c>
      <c r="F40">
        <f t="shared" ref="F40:F60" si="6">3.809*E40</f>
        <v>73.882464526000007</v>
      </c>
      <c r="G40" s="6">
        <f t="shared" si="4"/>
        <v>7.6960900547916669E-2</v>
      </c>
      <c r="H40">
        <f t="shared" si="1"/>
        <v>7388.2464526000003</v>
      </c>
    </row>
    <row r="41" spans="1:12">
      <c r="A41">
        <f t="shared" si="2"/>
        <v>1.9</v>
      </c>
      <c r="B41">
        <f t="shared" si="5"/>
        <v>76</v>
      </c>
      <c r="C41">
        <v>27</v>
      </c>
      <c r="D41">
        <v>9.7299919999999993</v>
      </c>
      <c r="E41">
        <f t="shared" si="0"/>
        <v>9.6399919999999995</v>
      </c>
      <c r="F41">
        <f t="shared" si="6"/>
        <v>36.718729527999997</v>
      </c>
      <c r="G41" s="6">
        <f t="shared" si="4"/>
        <v>3.8248676591666662E-2</v>
      </c>
      <c r="H41">
        <f t="shared" si="1"/>
        <v>3671.8729527999994</v>
      </c>
    </row>
    <row r="42" spans="1:12">
      <c r="A42">
        <f t="shared" si="2"/>
        <v>2.1</v>
      </c>
      <c r="B42">
        <f t="shared" si="5"/>
        <v>84</v>
      </c>
      <c r="C42">
        <v>28</v>
      </c>
      <c r="D42">
        <v>6.3050579999999998</v>
      </c>
      <c r="E42">
        <f t="shared" si="0"/>
        <v>6.215058</v>
      </c>
      <c r="F42">
        <f t="shared" si="6"/>
        <v>23.673155921999999</v>
      </c>
      <c r="G42" s="6">
        <f t="shared" si="4"/>
        <v>2.4659537418750002E-2</v>
      </c>
      <c r="H42">
        <f t="shared" si="1"/>
        <v>2367.3155922000001</v>
      </c>
    </row>
    <row r="43" spans="1:12">
      <c r="A43">
        <f t="shared" si="2"/>
        <v>2.2999999999999998</v>
      </c>
      <c r="B43">
        <f t="shared" si="5"/>
        <v>92</v>
      </c>
      <c r="C43">
        <v>29</v>
      </c>
      <c r="D43">
        <v>3.512216</v>
      </c>
      <c r="E43">
        <f t="shared" si="0"/>
        <v>3.4222160000000001</v>
      </c>
      <c r="F43">
        <f t="shared" si="6"/>
        <v>13.035220744000002</v>
      </c>
      <c r="G43" s="6">
        <f t="shared" si="4"/>
        <v>1.3578354941666669E-2</v>
      </c>
      <c r="H43">
        <f t="shared" si="1"/>
        <v>1303.5220744000003</v>
      </c>
    </row>
    <row r="44" spans="1:12">
      <c r="A44">
        <f t="shared" si="2"/>
        <v>2.5</v>
      </c>
      <c r="B44">
        <f t="shared" si="5"/>
        <v>100</v>
      </c>
      <c r="C44">
        <v>30</v>
      </c>
      <c r="D44">
        <v>1.603799</v>
      </c>
      <c r="E44">
        <f t="shared" si="0"/>
        <v>1.5137989999999999</v>
      </c>
      <c r="F44">
        <f t="shared" si="6"/>
        <v>5.7660603909999999</v>
      </c>
      <c r="G44" s="6">
        <f t="shared" si="4"/>
        <v>6.006312907291666E-3</v>
      </c>
      <c r="H44">
        <f t="shared" si="1"/>
        <v>576.60603909999998</v>
      </c>
    </row>
    <row r="45" spans="1:12">
      <c r="A45">
        <f t="shared" si="2"/>
        <v>2.7</v>
      </c>
      <c r="B45">
        <f t="shared" si="5"/>
        <v>108</v>
      </c>
      <c r="C45">
        <v>31</v>
      </c>
      <c r="D45">
        <v>1.2301059999999999</v>
      </c>
      <c r="E45">
        <f t="shared" si="0"/>
        <v>1.1401059999999998</v>
      </c>
      <c r="F45">
        <f t="shared" si="6"/>
        <v>4.3426637539999993</v>
      </c>
      <c r="G45" s="6">
        <f t="shared" si="4"/>
        <v>4.523608077083332E-3</v>
      </c>
      <c r="H45">
        <f t="shared" si="1"/>
        <v>434.2663753999999</v>
      </c>
    </row>
    <row r="46" spans="1:12">
      <c r="A46">
        <f t="shared" si="2"/>
        <v>2.9</v>
      </c>
      <c r="B46">
        <f t="shared" si="5"/>
        <v>116</v>
      </c>
      <c r="C46">
        <v>32</v>
      </c>
      <c r="D46">
        <v>0.34235900000000002</v>
      </c>
      <c r="E46">
        <f t="shared" si="0"/>
        <v>0.252359</v>
      </c>
      <c r="F46">
        <f t="shared" si="6"/>
        <v>0.96123543100000008</v>
      </c>
      <c r="G46" s="6">
        <f t="shared" si="4"/>
        <v>1.0012869072916668E-3</v>
      </c>
      <c r="H46">
        <f t="shared" si="1"/>
        <v>96.12354310000002</v>
      </c>
    </row>
    <row r="47" spans="1:12">
      <c r="A47">
        <f t="shared" si="2"/>
        <v>3.1</v>
      </c>
      <c r="B47">
        <f t="shared" si="5"/>
        <v>124</v>
      </c>
      <c r="C47">
        <v>33</v>
      </c>
      <c r="D47">
        <v>0.65155700000000005</v>
      </c>
      <c r="E47">
        <f t="shared" si="0"/>
        <v>0.56155700000000008</v>
      </c>
      <c r="F47">
        <f t="shared" si="6"/>
        <v>2.1389706130000006</v>
      </c>
      <c r="G47" s="6">
        <f t="shared" si="4"/>
        <v>2.2280943885416675E-3</v>
      </c>
      <c r="H47">
        <f t="shared" si="1"/>
        <v>213.89706130000008</v>
      </c>
    </row>
    <row r="48" spans="1:12">
      <c r="A48">
        <f t="shared" si="2"/>
        <v>3.3</v>
      </c>
      <c r="B48">
        <f t="shared" si="5"/>
        <v>132</v>
      </c>
      <c r="C48">
        <v>34</v>
      </c>
      <c r="D48">
        <v>0.34672999999999998</v>
      </c>
      <c r="E48">
        <f t="shared" si="0"/>
        <v>0.25673000000000001</v>
      </c>
      <c r="F48">
        <f t="shared" si="6"/>
        <v>0.97788457000000006</v>
      </c>
      <c r="G48" s="6">
        <f t="shared" si="4"/>
        <v>1.0186297604166668E-3</v>
      </c>
      <c r="H48">
        <f t="shared" si="1"/>
        <v>97.788457000000008</v>
      </c>
    </row>
    <row r="49" spans="1:12">
      <c r="A49">
        <f t="shared" si="2"/>
        <v>3.5</v>
      </c>
      <c r="B49">
        <f t="shared" si="5"/>
        <v>140</v>
      </c>
      <c r="C49">
        <v>35</v>
      </c>
      <c r="D49">
        <v>0.31389699999999998</v>
      </c>
      <c r="E49">
        <f t="shared" si="0"/>
        <v>0.22389699999999998</v>
      </c>
      <c r="F49">
        <f t="shared" si="6"/>
        <v>0.85282367299999995</v>
      </c>
      <c r="G49" s="6">
        <f t="shared" si="4"/>
        <v>8.8835799270833328E-4</v>
      </c>
      <c r="H49">
        <f t="shared" si="1"/>
        <v>85.28236729999999</v>
      </c>
    </row>
    <row r="50" spans="1:12">
      <c r="A50">
        <f t="shared" si="2"/>
        <v>3.7</v>
      </c>
      <c r="B50">
        <f t="shared" si="5"/>
        <v>148</v>
      </c>
      <c r="C50">
        <v>36</v>
      </c>
      <c r="D50">
        <v>0.16512399999999999</v>
      </c>
      <c r="E50">
        <f t="shared" si="0"/>
        <v>7.5123999999999996E-2</v>
      </c>
      <c r="F50">
        <f t="shared" si="6"/>
        <v>0.28614731599999998</v>
      </c>
      <c r="G50" s="6">
        <f t="shared" si="4"/>
        <v>2.9807012083333335E-4</v>
      </c>
      <c r="H50">
        <f t="shared" si="1"/>
        <v>28.614731600000002</v>
      </c>
    </row>
    <row r="51" spans="1:12">
      <c r="A51">
        <f t="shared" si="2"/>
        <v>3.9</v>
      </c>
      <c r="B51">
        <f t="shared" si="5"/>
        <v>156</v>
      </c>
      <c r="C51">
        <v>37</v>
      </c>
      <c r="D51">
        <v>0.202962</v>
      </c>
      <c r="E51">
        <f t="shared" si="0"/>
        <v>0.11296200000000001</v>
      </c>
      <c r="F51">
        <f t="shared" si="6"/>
        <v>0.43027225800000002</v>
      </c>
      <c r="G51" s="6">
        <f t="shared" si="4"/>
        <v>4.4820026875000001E-4</v>
      </c>
      <c r="H51">
        <f t="shared" si="1"/>
        <v>43.027225799999997</v>
      </c>
    </row>
    <row r="52" spans="1:12">
      <c r="A52">
        <f t="shared" si="2"/>
        <v>4.0999999999999996</v>
      </c>
      <c r="B52">
        <f t="shared" si="5"/>
        <v>164</v>
      </c>
      <c r="C52">
        <v>38</v>
      </c>
      <c r="D52">
        <v>0.14202999999999999</v>
      </c>
      <c r="E52">
        <f t="shared" si="0"/>
        <v>5.2029999999999993E-2</v>
      </c>
      <c r="F52">
        <f t="shared" si="6"/>
        <v>0.19818226999999999</v>
      </c>
      <c r="G52" s="6">
        <f t="shared" si="4"/>
        <v>2.0643986458333333E-4</v>
      </c>
      <c r="H52">
        <f t="shared" si="1"/>
        <v>19.818227</v>
      </c>
    </row>
    <row r="53" spans="1:12">
      <c r="A53">
        <f t="shared" si="2"/>
        <v>4.3</v>
      </c>
      <c r="B53">
        <f t="shared" si="5"/>
        <v>172</v>
      </c>
      <c r="C53">
        <v>39</v>
      </c>
      <c r="D53">
        <v>0.15710099999999999</v>
      </c>
      <c r="E53">
        <f t="shared" si="0"/>
        <v>6.7100999999999994E-2</v>
      </c>
      <c r="F53">
        <f t="shared" si="6"/>
        <v>0.255587709</v>
      </c>
      <c r="G53" s="6">
        <f t="shared" si="4"/>
        <v>2.6623719687499998E-4</v>
      </c>
      <c r="H53">
        <f t="shared" si="1"/>
        <v>25.558770899999999</v>
      </c>
    </row>
    <row r="54" spans="1:12">
      <c r="A54">
        <f t="shared" si="2"/>
        <v>4.5</v>
      </c>
      <c r="B54">
        <f t="shared" si="5"/>
        <v>180</v>
      </c>
      <c r="C54">
        <v>40</v>
      </c>
      <c r="D54">
        <v>0.122417</v>
      </c>
      <c r="E54">
        <f t="shared" si="0"/>
        <v>3.2417000000000001E-2</v>
      </c>
      <c r="F54">
        <f t="shared" si="6"/>
        <v>0.12347635300000001</v>
      </c>
      <c r="G54" s="6">
        <f t="shared" si="4"/>
        <v>1.2862120104166667E-4</v>
      </c>
      <c r="H54">
        <f t="shared" si="1"/>
        <v>12.3476353</v>
      </c>
    </row>
    <row r="55" spans="1:12">
      <c r="A55">
        <f t="shared" si="2"/>
        <v>4.7</v>
      </c>
      <c r="B55">
        <f t="shared" si="5"/>
        <v>188</v>
      </c>
      <c r="C55">
        <v>41</v>
      </c>
      <c r="D55">
        <v>0.12238599999999999</v>
      </c>
      <c r="E55">
        <f t="shared" si="0"/>
        <v>3.2385999999999998E-2</v>
      </c>
      <c r="F55">
        <f t="shared" si="6"/>
        <v>0.123358274</v>
      </c>
      <c r="G55" s="6">
        <f t="shared" si="4"/>
        <v>1.2849820208333336E-4</v>
      </c>
      <c r="H55">
        <f t="shared" si="1"/>
        <v>12.335827400000003</v>
      </c>
    </row>
    <row r="56" spans="1:12">
      <c r="A56">
        <f t="shared" si="2"/>
        <v>4.9000000000000004</v>
      </c>
      <c r="B56">
        <f t="shared" si="5"/>
        <v>196</v>
      </c>
      <c r="C56">
        <v>42</v>
      </c>
      <c r="D56">
        <v>0.12020599999999999</v>
      </c>
      <c r="E56">
        <f t="shared" si="0"/>
        <v>3.0205999999999997E-2</v>
      </c>
      <c r="F56">
        <f t="shared" si="6"/>
        <v>0.11505465399999999</v>
      </c>
      <c r="G56" s="6">
        <f t="shared" si="4"/>
        <v>1.1984859791666665E-4</v>
      </c>
      <c r="H56">
        <f t="shared" si="1"/>
        <v>11.505465399999999</v>
      </c>
    </row>
    <row r="57" spans="1:12">
      <c r="A57">
        <f t="shared" si="2"/>
        <v>5.0999999999999996</v>
      </c>
      <c r="B57">
        <f t="shared" si="5"/>
        <v>204</v>
      </c>
      <c r="C57">
        <v>43</v>
      </c>
      <c r="D57">
        <v>0.121001</v>
      </c>
      <c r="E57">
        <f t="shared" si="0"/>
        <v>3.1001000000000001E-2</v>
      </c>
      <c r="F57">
        <f t="shared" si="6"/>
        <v>0.11808280900000001</v>
      </c>
      <c r="G57" s="6">
        <f t="shared" si="4"/>
        <v>1.2300292604166667E-4</v>
      </c>
      <c r="H57">
        <f t="shared" si="1"/>
        <v>11.808280900000002</v>
      </c>
    </row>
    <row r="58" spans="1:12">
      <c r="A58">
        <f t="shared" si="2"/>
        <v>5.3</v>
      </c>
      <c r="B58">
        <f t="shared" si="5"/>
        <v>212</v>
      </c>
      <c r="C58">
        <v>44</v>
      </c>
      <c r="D58">
        <v>0.114285</v>
      </c>
      <c r="E58">
        <f t="shared" si="0"/>
        <v>2.4285000000000001E-2</v>
      </c>
      <c r="F58">
        <f t="shared" si="6"/>
        <v>9.2501565000000008E-2</v>
      </c>
      <c r="G58" s="6">
        <f t="shared" si="4"/>
        <v>9.6355796875000009E-5</v>
      </c>
      <c r="H58">
        <f t="shared" si="1"/>
        <v>9.250156500000001</v>
      </c>
    </row>
    <row r="59" spans="1:12">
      <c r="A59">
        <f t="shared" si="2"/>
        <v>5.5</v>
      </c>
      <c r="B59">
        <f t="shared" si="5"/>
        <v>220</v>
      </c>
      <c r="C59">
        <v>45</v>
      </c>
      <c r="D59">
        <v>0.11003599999999999</v>
      </c>
      <c r="E59">
        <f t="shared" si="0"/>
        <v>2.0035999999999998E-2</v>
      </c>
      <c r="F59">
        <f t="shared" si="6"/>
        <v>7.6317124E-2</v>
      </c>
      <c r="G59" s="6">
        <f t="shared" si="4"/>
        <v>7.949700416666666E-5</v>
      </c>
      <c r="H59">
        <f t="shared" si="1"/>
        <v>7.6317123999999987</v>
      </c>
    </row>
    <row r="60" spans="1:12">
      <c r="A60">
        <f t="shared" si="2"/>
        <v>5.7</v>
      </c>
      <c r="B60">
        <f t="shared" si="5"/>
        <v>228</v>
      </c>
      <c r="C60">
        <v>46</v>
      </c>
      <c r="D60">
        <v>0.10158</v>
      </c>
      <c r="E60">
        <f t="shared" si="0"/>
        <v>1.1580000000000007E-2</v>
      </c>
      <c r="F60">
        <f t="shared" si="6"/>
        <v>4.4108220000000031E-2</v>
      </c>
      <c r="G60" s="6">
        <f t="shared" si="4"/>
        <v>4.5946062500000032E-5</v>
      </c>
      <c r="H60">
        <f t="shared" si="1"/>
        <v>4.4108220000000031</v>
      </c>
    </row>
    <row r="62" spans="1:12">
      <c r="D62" t="s">
        <v>4</v>
      </c>
      <c r="G62" s="2"/>
    </row>
    <row r="63" spans="1:12">
      <c r="A63" t="s">
        <v>10</v>
      </c>
      <c r="B63" t="s">
        <v>18</v>
      </c>
      <c r="C63" t="s">
        <v>17</v>
      </c>
      <c r="D63" t="s">
        <v>0</v>
      </c>
      <c r="E63" t="s">
        <v>22</v>
      </c>
      <c r="F63" t="s">
        <v>3</v>
      </c>
      <c r="G63" s="6" t="s">
        <v>16</v>
      </c>
      <c r="L63">
        <v>600</v>
      </c>
    </row>
    <row r="64" spans="1:12">
      <c r="A64">
        <f>B64/40</f>
        <v>0</v>
      </c>
      <c r="B64">
        <v>0</v>
      </c>
      <c r="C64">
        <v>0</v>
      </c>
      <c r="D64">
        <v>66.809707000000003</v>
      </c>
      <c r="E64" s="1">
        <f>D64-$I$2</f>
        <v>66.809707000000003</v>
      </c>
      <c r="F64">
        <f>2.3864*E64</f>
        <v>159.43468478480003</v>
      </c>
      <c r="G64" s="6">
        <f>F64*100/35.5/1000</f>
        <v>0.44911178812619729</v>
      </c>
      <c r="H64">
        <f>G64*35.5*1000</f>
        <v>15943.468478480003</v>
      </c>
    </row>
    <row r="65" spans="1:8">
      <c r="A65">
        <f t="shared" ref="A65:A110" si="7">B65/40</f>
        <v>0</v>
      </c>
      <c r="B65">
        <v>0</v>
      </c>
      <c r="C65">
        <v>1</v>
      </c>
      <c r="D65">
        <v>2.2244869999999999</v>
      </c>
      <c r="E65">
        <f t="shared" ref="E65:E110" si="8">D65-$I$2</f>
        <v>2.2244869999999999</v>
      </c>
      <c r="F65">
        <f t="shared" ref="F65:F87" si="9">2.3864*E65</f>
        <v>5.3085157768000002</v>
      </c>
      <c r="G65" s="6">
        <f t="shared" ref="G65:G110" si="10">F65*100/35.5/1000</f>
        <v>1.4953565568450705E-2</v>
      </c>
      <c r="H65">
        <f t="shared" ref="H65:H84" si="11">G65*35.5*1000</f>
        <v>530.85157767999999</v>
      </c>
    </row>
    <row r="66" spans="1:8">
      <c r="A66">
        <f t="shared" si="7"/>
        <v>0.05</v>
      </c>
      <c r="B66">
        <v>2</v>
      </c>
      <c r="C66">
        <v>2</v>
      </c>
      <c r="D66">
        <v>2.02393</v>
      </c>
      <c r="E66">
        <f t="shared" si="8"/>
        <v>2.02393</v>
      </c>
      <c r="F66">
        <f t="shared" si="9"/>
        <v>4.8299065519999997</v>
      </c>
      <c r="G66" s="6">
        <f t="shared" si="10"/>
        <v>1.3605370569014084E-2</v>
      </c>
      <c r="H66">
        <f t="shared" si="11"/>
        <v>482.99065519999999</v>
      </c>
    </row>
    <row r="67" spans="1:8">
      <c r="A67">
        <f t="shared" si="7"/>
        <v>0.1</v>
      </c>
      <c r="B67">
        <v>4</v>
      </c>
      <c r="C67">
        <v>3</v>
      </c>
      <c r="D67">
        <v>2.2523789999999999</v>
      </c>
      <c r="E67">
        <f t="shared" si="8"/>
        <v>2.2523789999999999</v>
      </c>
      <c r="F67">
        <f t="shared" si="9"/>
        <v>5.3750772456</v>
      </c>
      <c r="G67" s="6">
        <f t="shared" si="10"/>
        <v>1.5141062663661973E-2</v>
      </c>
      <c r="H67">
        <f t="shared" si="11"/>
        <v>537.50772456000004</v>
      </c>
    </row>
    <row r="68" spans="1:8">
      <c r="A68">
        <f t="shared" si="7"/>
        <v>0.15</v>
      </c>
      <c r="B68">
        <v>6</v>
      </c>
      <c r="C68">
        <v>4</v>
      </c>
      <c r="D68">
        <v>1.9204749999999999</v>
      </c>
      <c r="E68">
        <f t="shared" si="8"/>
        <v>1.9204749999999999</v>
      </c>
      <c r="F68">
        <f t="shared" si="9"/>
        <v>4.5830215399999998</v>
      </c>
      <c r="G68" s="6">
        <f t="shared" si="10"/>
        <v>1.2909919830985914E-2</v>
      </c>
      <c r="H68">
        <f t="shared" si="11"/>
        <v>458.30215399999997</v>
      </c>
    </row>
    <row r="69" spans="1:8">
      <c r="A69">
        <f t="shared" si="7"/>
        <v>0.2</v>
      </c>
      <c r="B69">
        <v>8</v>
      </c>
      <c r="C69">
        <v>5</v>
      </c>
      <c r="D69">
        <v>1.7482409999999999</v>
      </c>
      <c r="E69">
        <f t="shared" si="8"/>
        <v>1.7482409999999999</v>
      </c>
      <c r="F69">
        <f t="shared" si="9"/>
        <v>4.1720023224</v>
      </c>
      <c r="G69" s="6">
        <f t="shared" si="10"/>
        <v>1.1752119218028169E-2</v>
      </c>
      <c r="H69">
        <f t="shared" si="11"/>
        <v>417.20023223999999</v>
      </c>
    </row>
    <row r="70" spans="1:8">
      <c r="A70">
        <f t="shared" si="7"/>
        <v>0.25</v>
      </c>
      <c r="B70">
        <v>10</v>
      </c>
      <c r="C70">
        <v>6</v>
      </c>
      <c r="D70">
        <v>2.0910700000000002</v>
      </c>
      <c r="E70">
        <f t="shared" si="8"/>
        <v>2.0910700000000002</v>
      </c>
      <c r="F70">
        <f t="shared" si="9"/>
        <v>4.9901294480000002</v>
      </c>
      <c r="G70" s="6">
        <f t="shared" si="10"/>
        <v>1.4056702670422534E-2</v>
      </c>
      <c r="H70">
        <f t="shared" si="11"/>
        <v>499.01294479999996</v>
      </c>
    </row>
    <row r="71" spans="1:8">
      <c r="A71">
        <f t="shared" si="7"/>
        <v>0.3</v>
      </c>
      <c r="B71">
        <v>12</v>
      </c>
      <c r="C71">
        <v>7</v>
      </c>
      <c r="D71">
        <v>1.851559</v>
      </c>
      <c r="E71">
        <f t="shared" si="8"/>
        <v>1.851559</v>
      </c>
      <c r="F71">
        <f t="shared" si="9"/>
        <v>4.4185603976000003</v>
      </c>
      <c r="G71" s="6">
        <f t="shared" si="10"/>
        <v>1.2446649007323944E-2</v>
      </c>
      <c r="H71">
        <f t="shared" si="11"/>
        <v>441.85603976000004</v>
      </c>
    </row>
    <row r="72" spans="1:8">
      <c r="A72">
        <f t="shared" si="7"/>
        <v>0.35</v>
      </c>
      <c r="B72">
        <v>14</v>
      </c>
      <c r="C72">
        <v>8</v>
      </c>
      <c r="D72">
        <v>2.0489459999999999</v>
      </c>
      <c r="E72">
        <f t="shared" si="8"/>
        <v>2.0489459999999999</v>
      </c>
      <c r="F72">
        <f t="shared" si="9"/>
        <v>4.8896047343999998</v>
      </c>
      <c r="G72" s="6">
        <f t="shared" si="10"/>
        <v>1.3773534463098589E-2</v>
      </c>
      <c r="H72">
        <f t="shared" si="11"/>
        <v>488.96047343999993</v>
      </c>
    </row>
    <row r="73" spans="1:8">
      <c r="A73">
        <f t="shared" si="7"/>
        <v>0.4</v>
      </c>
      <c r="B73">
        <v>16</v>
      </c>
      <c r="C73">
        <v>9</v>
      </c>
      <c r="D73">
        <v>1.97218</v>
      </c>
      <c r="E73">
        <f t="shared" si="8"/>
        <v>1.97218</v>
      </c>
      <c r="F73">
        <f t="shared" si="9"/>
        <v>4.7064103520000007</v>
      </c>
      <c r="G73" s="6">
        <f t="shared" si="10"/>
        <v>1.3257493949295776E-2</v>
      </c>
      <c r="H73">
        <f t="shared" si="11"/>
        <v>470.64103520000003</v>
      </c>
    </row>
    <row r="74" spans="1:8">
      <c r="A74">
        <f t="shared" si="7"/>
        <v>0.45</v>
      </c>
      <c r="B74">
        <v>18</v>
      </c>
      <c r="C74">
        <v>10</v>
      </c>
      <c r="D74">
        <v>1.9675480000000001</v>
      </c>
      <c r="E74">
        <f t="shared" si="8"/>
        <v>1.9675480000000001</v>
      </c>
      <c r="F74">
        <f t="shared" si="9"/>
        <v>4.6953565472000003</v>
      </c>
      <c r="G74" s="6">
        <f t="shared" si="10"/>
        <v>1.3226356470985917E-2</v>
      </c>
      <c r="H74">
        <f t="shared" si="11"/>
        <v>469.53565472000003</v>
      </c>
    </row>
    <row r="75" spans="1:8">
      <c r="A75">
        <f t="shared" si="7"/>
        <v>0.5</v>
      </c>
      <c r="B75">
        <v>20</v>
      </c>
      <c r="C75">
        <v>11</v>
      </c>
      <c r="D75">
        <v>1.8562240000000001</v>
      </c>
      <c r="E75">
        <f t="shared" si="8"/>
        <v>1.8562240000000001</v>
      </c>
      <c r="F75">
        <f t="shared" si="9"/>
        <v>4.4296929536</v>
      </c>
      <c r="G75" s="6">
        <f t="shared" si="10"/>
        <v>1.2478008319999999E-2</v>
      </c>
      <c r="H75">
        <f t="shared" si="11"/>
        <v>442.96929535999993</v>
      </c>
    </row>
    <row r="76" spans="1:8">
      <c r="A76">
        <f t="shared" si="7"/>
        <v>0.55000000000000004</v>
      </c>
      <c r="B76">
        <v>22</v>
      </c>
      <c r="C76">
        <v>12</v>
      </c>
      <c r="D76">
        <v>1.892061</v>
      </c>
      <c r="E76">
        <f t="shared" si="8"/>
        <v>1.892061</v>
      </c>
      <c r="F76">
        <f t="shared" si="9"/>
        <v>4.5152143703999998</v>
      </c>
      <c r="G76" s="6">
        <f t="shared" si="10"/>
        <v>1.271891371943662E-2</v>
      </c>
      <c r="H76">
        <f t="shared" si="11"/>
        <v>451.52143704000002</v>
      </c>
    </row>
    <row r="77" spans="1:8">
      <c r="A77">
        <f t="shared" si="7"/>
        <v>0.6</v>
      </c>
      <c r="B77">
        <v>24</v>
      </c>
      <c r="C77">
        <v>13</v>
      </c>
      <c r="D77">
        <v>1.826972</v>
      </c>
      <c r="E77">
        <f t="shared" si="8"/>
        <v>1.826972</v>
      </c>
      <c r="F77">
        <f t="shared" si="9"/>
        <v>4.3598859808000006</v>
      </c>
      <c r="G77" s="6">
        <f t="shared" si="10"/>
        <v>1.228136896E-2</v>
      </c>
      <c r="H77">
        <f t="shared" si="11"/>
        <v>435.98859808000003</v>
      </c>
    </row>
    <row r="78" spans="1:8">
      <c r="A78">
        <f t="shared" si="7"/>
        <v>0.65</v>
      </c>
      <c r="B78">
        <v>26</v>
      </c>
      <c r="C78">
        <v>14</v>
      </c>
      <c r="D78">
        <v>1.8254649999999999</v>
      </c>
      <c r="E78">
        <f t="shared" si="8"/>
        <v>1.8254649999999999</v>
      </c>
      <c r="F78">
        <f t="shared" si="9"/>
        <v>4.3562896760000003</v>
      </c>
      <c r="G78" s="6">
        <f t="shared" si="10"/>
        <v>1.2271238523943661E-2</v>
      </c>
      <c r="H78">
        <f t="shared" si="11"/>
        <v>435.62896759999995</v>
      </c>
    </row>
    <row r="79" spans="1:8">
      <c r="A79">
        <f t="shared" si="7"/>
        <v>0.7</v>
      </c>
      <c r="B79">
        <v>28</v>
      </c>
      <c r="C79">
        <v>15</v>
      </c>
      <c r="D79">
        <v>1.768276</v>
      </c>
      <c r="E79">
        <f t="shared" si="8"/>
        <v>1.768276</v>
      </c>
      <c r="F79">
        <f t="shared" si="9"/>
        <v>4.2198138464000001</v>
      </c>
      <c r="G79" s="6">
        <f t="shared" si="10"/>
        <v>1.1886799567323945E-2</v>
      </c>
      <c r="H79">
        <f t="shared" si="11"/>
        <v>421.98138463999999</v>
      </c>
    </row>
    <row r="80" spans="1:8">
      <c r="A80">
        <f t="shared" si="7"/>
        <v>0.75</v>
      </c>
      <c r="B80">
        <v>30</v>
      </c>
      <c r="C80">
        <v>16</v>
      </c>
      <c r="D80">
        <v>1.778292</v>
      </c>
      <c r="E80">
        <f t="shared" si="8"/>
        <v>1.778292</v>
      </c>
      <c r="F80">
        <f t="shared" si="9"/>
        <v>4.2437160287999998</v>
      </c>
      <c r="G80" s="6">
        <f t="shared" si="10"/>
        <v>1.1954129658591547E-2</v>
      </c>
      <c r="H80">
        <f t="shared" si="11"/>
        <v>424.3716028799999</v>
      </c>
    </row>
    <row r="81" spans="1:9">
      <c r="A81">
        <f t="shared" si="7"/>
        <v>0.8</v>
      </c>
      <c r="B81">
        <v>32</v>
      </c>
      <c r="C81">
        <v>17</v>
      </c>
      <c r="D81">
        <v>1.5865400000000001</v>
      </c>
      <c r="E81">
        <f t="shared" si="8"/>
        <v>1.5865400000000001</v>
      </c>
      <c r="F81">
        <f t="shared" si="9"/>
        <v>3.7861190560000004</v>
      </c>
      <c r="G81" s="6">
        <f t="shared" si="10"/>
        <v>1.0665124101408453E-2</v>
      </c>
      <c r="H81">
        <f t="shared" si="11"/>
        <v>378.61190560000006</v>
      </c>
    </row>
    <row r="82" spans="1:9">
      <c r="A82">
        <f t="shared" si="7"/>
        <v>0.85</v>
      </c>
      <c r="B82">
        <v>34</v>
      </c>
      <c r="C82">
        <v>18</v>
      </c>
      <c r="D82">
        <v>1.6763030000000001</v>
      </c>
      <c r="E82">
        <f t="shared" si="8"/>
        <v>1.6763030000000001</v>
      </c>
      <c r="F82">
        <f t="shared" si="9"/>
        <v>4.0003294792000004</v>
      </c>
      <c r="G82" s="6">
        <f t="shared" si="10"/>
        <v>1.1268533744225352E-2</v>
      </c>
      <c r="H82">
        <f t="shared" si="11"/>
        <v>400.03294791999997</v>
      </c>
    </row>
    <row r="83" spans="1:9">
      <c r="A83">
        <f t="shared" si="7"/>
        <v>0.9</v>
      </c>
      <c r="B83">
        <v>36</v>
      </c>
      <c r="C83">
        <v>19</v>
      </c>
      <c r="D83">
        <v>1.616833</v>
      </c>
      <c r="E83">
        <f t="shared" si="8"/>
        <v>1.616833</v>
      </c>
      <c r="F83">
        <f t="shared" si="9"/>
        <v>3.8584102711999999</v>
      </c>
      <c r="G83" s="6">
        <f t="shared" si="10"/>
        <v>1.0868761327323943E-2</v>
      </c>
      <c r="H83">
        <f t="shared" si="11"/>
        <v>385.84102712000004</v>
      </c>
    </row>
    <row r="84" spans="1:9">
      <c r="A84">
        <f t="shared" si="7"/>
        <v>0.95</v>
      </c>
      <c r="B84">
        <v>38</v>
      </c>
      <c r="C84">
        <v>20</v>
      </c>
      <c r="D84">
        <v>1.5898490000000001</v>
      </c>
      <c r="E84">
        <f t="shared" si="8"/>
        <v>1.5898490000000001</v>
      </c>
      <c r="F84">
        <f t="shared" si="9"/>
        <v>3.7940156536000003</v>
      </c>
      <c r="G84" s="6">
        <f t="shared" si="10"/>
        <v>1.068736803830986E-2</v>
      </c>
      <c r="H84">
        <f t="shared" si="11"/>
        <v>379.40156536000001</v>
      </c>
    </row>
    <row r="85" spans="1:9">
      <c r="A85">
        <f t="shared" si="7"/>
        <v>1</v>
      </c>
      <c r="B85">
        <v>40</v>
      </c>
      <c r="C85">
        <v>21</v>
      </c>
      <c r="D85">
        <v>1.7119450000000001</v>
      </c>
      <c r="E85">
        <f t="shared" si="8"/>
        <v>1.7119450000000001</v>
      </c>
      <c r="F85">
        <f t="shared" si="9"/>
        <v>4.0853855480000005</v>
      </c>
      <c r="G85" s="6">
        <f t="shared" si="10"/>
        <v>1.1508128304225353E-2</v>
      </c>
      <c r="H85">
        <f>G85*35.5*1000</f>
        <v>408.53855479999999</v>
      </c>
    </row>
    <row r="86" spans="1:9">
      <c r="A86">
        <f t="shared" si="7"/>
        <v>1.05</v>
      </c>
      <c r="B86">
        <v>42</v>
      </c>
      <c r="C86">
        <v>22</v>
      </c>
      <c r="D86">
        <v>1.668377</v>
      </c>
      <c r="E86">
        <f t="shared" si="8"/>
        <v>1.668377</v>
      </c>
      <c r="F86">
        <f t="shared" si="9"/>
        <v>3.9814148728000003</v>
      </c>
      <c r="G86" s="6">
        <f t="shared" si="10"/>
        <v>1.1215253162816902E-2</v>
      </c>
      <c r="H86">
        <f t="shared" ref="H86:H110" si="12">G86*35.5*1000</f>
        <v>398.14148728000004</v>
      </c>
    </row>
    <row r="87" spans="1:9">
      <c r="A87">
        <f t="shared" si="7"/>
        <v>1.1000000000000001</v>
      </c>
      <c r="B87">
        <v>44</v>
      </c>
      <c r="C87">
        <v>23</v>
      </c>
      <c r="D87">
        <v>1.7300120000000001</v>
      </c>
      <c r="E87">
        <f t="shared" si="8"/>
        <v>1.7300120000000001</v>
      </c>
      <c r="F87">
        <f t="shared" si="9"/>
        <v>4.1285006368000001</v>
      </c>
      <c r="G87" s="6">
        <f t="shared" si="10"/>
        <v>1.162957925859155E-2</v>
      </c>
      <c r="H87">
        <f t="shared" si="12"/>
        <v>412.85006368000006</v>
      </c>
    </row>
    <row r="88" spans="1:9">
      <c r="A88" s="4">
        <f t="shared" si="7"/>
        <v>1.3</v>
      </c>
      <c r="B88" s="4">
        <f>B87+8</f>
        <v>52</v>
      </c>
      <c r="C88" s="4">
        <v>24</v>
      </c>
      <c r="D88" s="4">
        <v>10.184843000000001</v>
      </c>
      <c r="E88" s="4">
        <f t="shared" si="8"/>
        <v>10.184843000000001</v>
      </c>
      <c r="F88" s="4">
        <f>2.3206*E88</f>
        <v>23.634946665800005</v>
      </c>
      <c r="G88" s="9">
        <f t="shared" si="10"/>
        <v>6.6577314551549305E-2</v>
      </c>
      <c r="H88" s="4">
        <f t="shared" si="12"/>
        <v>2363.4946665800003</v>
      </c>
      <c r="I88">
        <v>63.516731999999998</v>
      </c>
    </row>
    <row r="89" spans="1:9">
      <c r="A89">
        <f t="shared" si="7"/>
        <v>1.5</v>
      </c>
      <c r="B89">
        <f t="shared" ref="B89:B110" si="13">B88+8</f>
        <v>60</v>
      </c>
      <c r="C89">
        <v>25</v>
      </c>
      <c r="D89">
        <v>12.854066</v>
      </c>
      <c r="E89">
        <f t="shared" si="8"/>
        <v>12.854066</v>
      </c>
      <c r="F89">
        <f t="shared" ref="F89:F110" si="14">2.3206*E89</f>
        <v>29.829145559600001</v>
      </c>
      <c r="G89" s="6">
        <f t="shared" si="10"/>
        <v>8.402576213971831E-2</v>
      </c>
      <c r="H89">
        <f t="shared" si="12"/>
        <v>2982.9145559599997</v>
      </c>
    </row>
    <row r="90" spans="1:9">
      <c r="A90">
        <f t="shared" si="7"/>
        <v>1.7</v>
      </c>
      <c r="B90">
        <f t="shared" si="13"/>
        <v>68</v>
      </c>
      <c r="C90">
        <v>26</v>
      </c>
      <c r="D90">
        <v>21.599612</v>
      </c>
      <c r="E90">
        <f t="shared" si="8"/>
        <v>21.599612</v>
      </c>
      <c r="F90">
        <f t="shared" si="14"/>
        <v>50.124059607200003</v>
      </c>
      <c r="G90" s="6">
        <f t="shared" si="10"/>
        <v>0.14119453410478874</v>
      </c>
      <c r="H90">
        <f t="shared" si="12"/>
        <v>5012.4059607200006</v>
      </c>
    </row>
    <row r="91" spans="1:9">
      <c r="A91">
        <f t="shared" si="7"/>
        <v>1.9</v>
      </c>
      <c r="B91">
        <f t="shared" si="13"/>
        <v>76</v>
      </c>
      <c r="C91">
        <v>27</v>
      </c>
      <c r="D91">
        <v>28.487031999999999</v>
      </c>
      <c r="E91">
        <f t="shared" si="8"/>
        <v>28.487031999999999</v>
      </c>
      <c r="F91">
        <f t="shared" si="14"/>
        <v>66.107006459200008</v>
      </c>
      <c r="G91" s="6">
        <f t="shared" si="10"/>
        <v>0.18621691960338033</v>
      </c>
      <c r="H91">
        <f t="shared" si="12"/>
        <v>6610.7006459200011</v>
      </c>
    </row>
    <row r="92" spans="1:9">
      <c r="A92">
        <f t="shared" si="7"/>
        <v>2.1</v>
      </c>
      <c r="B92">
        <f t="shared" si="13"/>
        <v>84</v>
      </c>
      <c r="C92">
        <v>28</v>
      </c>
      <c r="D92">
        <v>41.083773000000001</v>
      </c>
      <c r="E92">
        <f t="shared" si="8"/>
        <v>41.083773000000001</v>
      </c>
      <c r="F92">
        <f t="shared" si="14"/>
        <v>95.339003623800011</v>
      </c>
      <c r="G92" s="6">
        <f t="shared" si="10"/>
        <v>0.26856057358816904</v>
      </c>
      <c r="H92">
        <f t="shared" si="12"/>
        <v>9533.9003623799999</v>
      </c>
    </row>
    <row r="93" spans="1:9">
      <c r="A93">
        <f t="shared" si="7"/>
        <v>2.2999999999999998</v>
      </c>
      <c r="B93">
        <f t="shared" si="13"/>
        <v>92</v>
      </c>
      <c r="C93">
        <v>29</v>
      </c>
      <c r="D93">
        <v>45.688397000000002</v>
      </c>
      <c r="E93">
        <f t="shared" si="8"/>
        <v>45.688397000000002</v>
      </c>
      <c r="F93">
        <f t="shared" si="14"/>
        <v>106.02449407820002</v>
      </c>
      <c r="G93" s="6">
        <f t="shared" si="10"/>
        <v>0.29866054669915504</v>
      </c>
      <c r="H93">
        <f t="shared" si="12"/>
        <v>10602.449407820004</v>
      </c>
    </row>
    <row r="94" spans="1:9">
      <c r="A94">
        <f t="shared" si="7"/>
        <v>2.5</v>
      </c>
      <c r="B94">
        <f t="shared" si="13"/>
        <v>100</v>
      </c>
      <c r="C94">
        <v>30</v>
      </c>
      <c r="D94">
        <v>37.364783000000003</v>
      </c>
      <c r="E94">
        <f t="shared" si="8"/>
        <v>37.364783000000003</v>
      </c>
      <c r="F94">
        <f t="shared" si="14"/>
        <v>86.708715429800009</v>
      </c>
      <c r="G94" s="6">
        <f t="shared" si="10"/>
        <v>0.24424990261915497</v>
      </c>
      <c r="H94">
        <f t="shared" si="12"/>
        <v>8670.8715429800013</v>
      </c>
    </row>
    <row r="95" spans="1:9">
      <c r="A95">
        <f t="shared" si="7"/>
        <v>2.7</v>
      </c>
      <c r="B95">
        <f t="shared" si="13"/>
        <v>108</v>
      </c>
      <c r="C95">
        <v>31</v>
      </c>
      <c r="D95">
        <v>47.522703999999997</v>
      </c>
      <c r="E95">
        <f t="shared" si="8"/>
        <v>47.522703999999997</v>
      </c>
      <c r="F95">
        <f t="shared" si="14"/>
        <v>110.28118690240001</v>
      </c>
      <c r="G95" s="6">
        <f t="shared" si="10"/>
        <v>0.31065123071098594</v>
      </c>
      <c r="H95">
        <f t="shared" si="12"/>
        <v>11028.11869024</v>
      </c>
    </row>
    <row r="96" spans="1:9">
      <c r="A96">
        <f t="shared" si="7"/>
        <v>2.9</v>
      </c>
      <c r="B96">
        <f t="shared" si="13"/>
        <v>116</v>
      </c>
      <c r="C96">
        <v>32</v>
      </c>
      <c r="D96">
        <v>16.568147</v>
      </c>
      <c r="E96">
        <f t="shared" si="8"/>
        <v>16.568147</v>
      </c>
      <c r="F96">
        <f t="shared" si="14"/>
        <v>38.448041928200006</v>
      </c>
      <c r="G96" s="6">
        <f t="shared" si="10"/>
        <v>0.10830434345971833</v>
      </c>
      <c r="H96">
        <f t="shared" si="12"/>
        <v>3844.8041928200009</v>
      </c>
    </row>
    <row r="97" spans="1:8">
      <c r="A97">
        <f t="shared" si="7"/>
        <v>3.1</v>
      </c>
      <c r="B97">
        <f t="shared" si="13"/>
        <v>124</v>
      </c>
      <c r="C97">
        <v>33</v>
      </c>
      <c r="D97">
        <v>59.076011999999999</v>
      </c>
      <c r="E97">
        <f t="shared" si="8"/>
        <v>59.076011999999999</v>
      </c>
      <c r="F97">
        <f t="shared" si="14"/>
        <v>137.09179344720002</v>
      </c>
      <c r="G97" s="6">
        <f t="shared" si="10"/>
        <v>0.38617406604845078</v>
      </c>
      <c r="H97">
        <f t="shared" si="12"/>
        <v>13709.179344720003</v>
      </c>
    </row>
    <row r="98" spans="1:8">
      <c r="A98">
        <f t="shared" si="7"/>
        <v>3.3</v>
      </c>
      <c r="B98">
        <f t="shared" si="13"/>
        <v>132</v>
      </c>
      <c r="C98">
        <v>34</v>
      </c>
      <c r="D98">
        <v>41.544691</v>
      </c>
      <c r="E98">
        <f t="shared" si="8"/>
        <v>41.544691</v>
      </c>
      <c r="F98">
        <f t="shared" si="14"/>
        <v>96.408609934600008</v>
      </c>
      <c r="G98" s="6">
        <f t="shared" si="10"/>
        <v>0.27157354911154929</v>
      </c>
      <c r="H98">
        <f t="shared" si="12"/>
        <v>9640.8609934600008</v>
      </c>
    </row>
    <row r="99" spans="1:8">
      <c r="A99">
        <f t="shared" si="7"/>
        <v>3.5</v>
      </c>
      <c r="B99">
        <f t="shared" si="13"/>
        <v>140</v>
      </c>
      <c r="C99">
        <v>35</v>
      </c>
      <c r="D99">
        <v>53.093811000000002</v>
      </c>
      <c r="E99">
        <f t="shared" si="8"/>
        <v>53.093811000000002</v>
      </c>
      <c r="F99">
        <f t="shared" si="14"/>
        <v>123.20949780660001</v>
      </c>
      <c r="G99" s="6">
        <f t="shared" si="10"/>
        <v>0.34706900790591549</v>
      </c>
      <c r="H99">
        <f t="shared" si="12"/>
        <v>12320.949780659999</v>
      </c>
    </row>
    <row r="100" spans="1:8">
      <c r="A100">
        <f t="shared" si="7"/>
        <v>3.7</v>
      </c>
      <c r="B100">
        <f t="shared" si="13"/>
        <v>148</v>
      </c>
      <c r="C100">
        <v>36</v>
      </c>
      <c r="D100">
        <v>23.672421</v>
      </c>
      <c r="E100">
        <f t="shared" si="8"/>
        <v>23.672421</v>
      </c>
      <c r="F100">
        <f t="shared" si="14"/>
        <v>54.934220172600007</v>
      </c>
      <c r="G100" s="6">
        <f t="shared" si="10"/>
        <v>0.15474428217633807</v>
      </c>
      <c r="H100">
        <f t="shared" si="12"/>
        <v>5493.4220172600017</v>
      </c>
    </row>
    <row r="101" spans="1:8">
      <c r="A101">
        <f t="shared" si="7"/>
        <v>3.9</v>
      </c>
      <c r="B101">
        <f t="shared" si="13"/>
        <v>156</v>
      </c>
      <c r="C101">
        <v>37</v>
      </c>
      <c r="D101">
        <v>53.771931000000002</v>
      </c>
      <c r="E101">
        <f t="shared" si="8"/>
        <v>53.771931000000002</v>
      </c>
      <c r="F101">
        <f t="shared" si="14"/>
        <v>124.78314307860002</v>
      </c>
      <c r="G101" s="6">
        <f t="shared" si="10"/>
        <v>0.3515018114890141</v>
      </c>
      <c r="H101">
        <f t="shared" si="12"/>
        <v>12478.314307860001</v>
      </c>
    </row>
    <row r="102" spans="1:8">
      <c r="A102">
        <f t="shared" si="7"/>
        <v>4.0999999999999996</v>
      </c>
      <c r="B102">
        <f t="shared" si="13"/>
        <v>164</v>
      </c>
      <c r="C102">
        <v>38</v>
      </c>
      <c r="D102">
        <v>30.030138999999998</v>
      </c>
      <c r="E102">
        <f t="shared" si="8"/>
        <v>30.030138999999998</v>
      </c>
      <c r="F102">
        <f t="shared" si="14"/>
        <v>69.687940563400005</v>
      </c>
      <c r="G102" s="6">
        <f t="shared" si="10"/>
        <v>0.19630405792507044</v>
      </c>
      <c r="H102">
        <f t="shared" si="12"/>
        <v>6968.7940563400007</v>
      </c>
    </row>
    <row r="103" spans="1:8">
      <c r="A103">
        <f t="shared" si="7"/>
        <v>4.3</v>
      </c>
      <c r="B103">
        <f t="shared" si="13"/>
        <v>172</v>
      </c>
      <c r="C103">
        <v>39</v>
      </c>
      <c r="D103">
        <v>58.550801999999997</v>
      </c>
      <c r="E103">
        <f t="shared" si="8"/>
        <v>58.550801999999997</v>
      </c>
      <c r="F103">
        <f t="shared" si="14"/>
        <v>135.87299112120002</v>
      </c>
      <c r="G103" s="6">
        <f t="shared" si="10"/>
        <v>0.38274082005971832</v>
      </c>
      <c r="H103">
        <f t="shared" si="12"/>
        <v>13587.299112119999</v>
      </c>
    </row>
    <row r="104" spans="1:8">
      <c r="A104">
        <f t="shared" si="7"/>
        <v>4.5</v>
      </c>
      <c r="B104">
        <f t="shared" si="13"/>
        <v>180</v>
      </c>
      <c r="C104">
        <v>40</v>
      </c>
      <c r="D104">
        <v>32.127369999999999</v>
      </c>
      <c r="E104">
        <f t="shared" si="8"/>
        <v>32.127369999999999</v>
      </c>
      <c r="F104">
        <f t="shared" si="14"/>
        <v>74.554774821999999</v>
      </c>
      <c r="G104" s="6">
        <f t="shared" si="10"/>
        <v>0.21001345020281689</v>
      </c>
      <c r="H104">
        <f t="shared" si="12"/>
        <v>7455.4774821999999</v>
      </c>
    </row>
    <row r="105" spans="1:8">
      <c r="A105">
        <f t="shared" si="7"/>
        <v>4.7</v>
      </c>
      <c r="B105">
        <f t="shared" si="13"/>
        <v>188</v>
      </c>
      <c r="C105">
        <v>41</v>
      </c>
      <c r="D105">
        <v>43.559204999999999</v>
      </c>
      <c r="E105">
        <f t="shared" si="8"/>
        <v>43.559204999999999</v>
      </c>
      <c r="F105">
        <f t="shared" si="14"/>
        <v>101.083491123</v>
      </c>
      <c r="G105" s="6">
        <f t="shared" si="10"/>
        <v>0.28474222851549297</v>
      </c>
      <c r="H105">
        <f t="shared" si="12"/>
        <v>10108.3491123</v>
      </c>
    </row>
    <row r="106" spans="1:8">
      <c r="A106">
        <f t="shared" si="7"/>
        <v>4.9000000000000004</v>
      </c>
      <c r="B106">
        <f t="shared" si="13"/>
        <v>196</v>
      </c>
      <c r="C106">
        <v>42</v>
      </c>
      <c r="D106">
        <v>47.177877000000002</v>
      </c>
      <c r="E106">
        <f t="shared" si="8"/>
        <v>47.177877000000002</v>
      </c>
      <c r="F106">
        <f t="shared" si="14"/>
        <v>109.48098136620001</v>
      </c>
      <c r="G106" s="6">
        <f t="shared" si="10"/>
        <v>0.30839713060901414</v>
      </c>
      <c r="H106">
        <f t="shared" si="12"/>
        <v>10948.098136620003</v>
      </c>
    </row>
    <row r="107" spans="1:8">
      <c r="A107">
        <f t="shared" si="7"/>
        <v>5.0999999999999996</v>
      </c>
      <c r="B107">
        <f t="shared" si="13"/>
        <v>204</v>
      </c>
      <c r="C107">
        <v>43</v>
      </c>
      <c r="D107">
        <v>66.904328000000007</v>
      </c>
      <c r="E107">
        <f t="shared" si="8"/>
        <v>66.904328000000007</v>
      </c>
      <c r="F107">
        <f t="shared" si="14"/>
        <v>155.25818355680002</v>
      </c>
      <c r="G107" s="6">
        <f t="shared" si="10"/>
        <v>0.43734699593464793</v>
      </c>
      <c r="H107">
        <f t="shared" si="12"/>
        <v>15525.818355680001</v>
      </c>
    </row>
    <row r="108" spans="1:8">
      <c r="A108">
        <f t="shared" si="7"/>
        <v>5.3</v>
      </c>
      <c r="B108">
        <f t="shared" si="13"/>
        <v>212</v>
      </c>
      <c r="C108">
        <v>44</v>
      </c>
      <c r="D108">
        <v>54.299252000000003</v>
      </c>
      <c r="E108">
        <f t="shared" si="8"/>
        <v>54.299252000000003</v>
      </c>
      <c r="F108">
        <f t="shared" si="14"/>
        <v>126.00684419120002</v>
      </c>
      <c r="G108" s="6">
        <f t="shared" si="10"/>
        <v>0.35494885687661976</v>
      </c>
      <c r="H108">
        <f t="shared" si="12"/>
        <v>12600.684419120002</v>
      </c>
    </row>
    <row r="109" spans="1:8">
      <c r="A109">
        <f t="shared" si="7"/>
        <v>5.5</v>
      </c>
      <c r="B109">
        <f t="shared" si="13"/>
        <v>220</v>
      </c>
      <c r="C109">
        <v>45</v>
      </c>
      <c r="D109">
        <v>61.145681000000003</v>
      </c>
      <c r="E109">
        <f t="shared" si="8"/>
        <v>61.145681000000003</v>
      </c>
      <c r="F109">
        <f t="shared" si="14"/>
        <v>141.89466732860001</v>
      </c>
      <c r="G109" s="6">
        <f t="shared" si="10"/>
        <v>0.39970328824957752</v>
      </c>
      <c r="H109">
        <f t="shared" si="12"/>
        <v>14189.466732860001</v>
      </c>
    </row>
    <row r="110" spans="1:8">
      <c r="A110">
        <f t="shared" si="7"/>
        <v>5.7</v>
      </c>
      <c r="B110">
        <f t="shared" si="13"/>
        <v>228</v>
      </c>
      <c r="C110">
        <v>46</v>
      </c>
      <c r="D110">
        <v>50.288722999999997</v>
      </c>
      <c r="E110">
        <f t="shared" si="8"/>
        <v>50.288722999999997</v>
      </c>
      <c r="F110">
        <f t="shared" si="14"/>
        <v>116.7000105938</v>
      </c>
      <c r="G110" s="6">
        <f t="shared" si="10"/>
        <v>0.32873242420788734</v>
      </c>
      <c r="H110">
        <f t="shared" si="12"/>
        <v>11670.00105938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D2A3-01C7-4C9A-A029-64B20E083F9D}">
  <dimension ref="A1:L110"/>
  <sheetViews>
    <sheetView workbookViewId="0"/>
  </sheetViews>
  <sheetFormatPr defaultRowHeight="14.5"/>
  <cols>
    <col min="4" max="4" width="18.90625" customWidth="1"/>
    <col min="5" max="5" width="15.7265625" customWidth="1"/>
    <col min="6" max="6" width="17.36328125" style="6" customWidth="1"/>
    <col min="7" max="7" width="13.453125" customWidth="1"/>
    <col min="8" max="8" width="14.1796875" customWidth="1"/>
    <col min="9" max="9" width="17.453125" customWidth="1"/>
    <col min="12" max="12" width="15.453125" customWidth="1"/>
  </cols>
  <sheetData>
    <row r="1" spans="1:10">
      <c r="A1" t="s">
        <v>35</v>
      </c>
      <c r="H1" t="s">
        <v>20</v>
      </c>
      <c r="I1" t="s">
        <v>21</v>
      </c>
    </row>
    <row r="2" spans="1:10">
      <c r="A2" t="s">
        <v>5</v>
      </c>
      <c r="B2" t="s">
        <v>0</v>
      </c>
      <c r="C2" t="s">
        <v>1</v>
      </c>
      <c r="D2" s="6"/>
      <c r="E2" t="s">
        <v>4</v>
      </c>
      <c r="F2" t="s">
        <v>0</v>
      </c>
      <c r="G2" t="s">
        <v>1</v>
      </c>
      <c r="H2">
        <v>0.09</v>
      </c>
      <c r="I2">
        <v>0</v>
      </c>
    </row>
    <row r="3" spans="1:10">
      <c r="B3" s="4">
        <v>0</v>
      </c>
      <c r="C3">
        <v>0</v>
      </c>
      <c r="D3" s="6"/>
      <c r="F3" s="4">
        <v>0</v>
      </c>
      <c r="G3">
        <v>0</v>
      </c>
    </row>
    <row r="4" spans="1:10">
      <c r="B4" s="4">
        <v>0.96203399999999994</v>
      </c>
      <c r="C4">
        <v>5</v>
      </c>
      <c r="D4" s="6"/>
      <c r="F4" s="3">
        <v>0.24932499999999999</v>
      </c>
      <c r="G4">
        <v>1</v>
      </c>
    </row>
    <row r="5" spans="1:10">
      <c r="B5" s="4">
        <v>1.9548989999999999</v>
      </c>
      <c r="C5">
        <v>10</v>
      </c>
      <c r="D5" s="6"/>
      <c r="F5" s="3">
        <v>1.3831119999999999</v>
      </c>
      <c r="G5">
        <v>5</v>
      </c>
    </row>
    <row r="6" spans="1:10">
      <c r="B6" s="4">
        <v>2.9932799999999999</v>
      </c>
      <c r="C6">
        <v>15</v>
      </c>
      <c r="D6" s="6"/>
      <c r="F6" s="3">
        <v>3.0579619999999998</v>
      </c>
      <c r="G6">
        <v>10</v>
      </c>
    </row>
    <row r="7" spans="1:10">
      <c r="B7" s="4">
        <v>5.2209680000000001</v>
      </c>
      <c r="C7">
        <v>25</v>
      </c>
      <c r="D7" s="6"/>
      <c r="F7" s="3">
        <v>6.4836780000000003</v>
      </c>
      <c r="G7">
        <v>20</v>
      </c>
    </row>
    <row r="8" spans="1:10">
      <c r="B8" s="3"/>
      <c r="D8" s="6"/>
      <c r="F8" s="3">
        <v>34.605232000000001</v>
      </c>
      <c r="G8">
        <v>100</v>
      </c>
    </row>
    <row r="12" spans="1:10">
      <c r="D12" t="s">
        <v>5</v>
      </c>
    </row>
    <row r="13" spans="1:10">
      <c r="A13" t="s">
        <v>10</v>
      </c>
      <c r="B13" t="s">
        <v>18</v>
      </c>
      <c r="C13" t="s">
        <v>17</v>
      </c>
      <c r="D13" t="s">
        <v>0</v>
      </c>
      <c r="E13" t="s">
        <v>22</v>
      </c>
      <c r="F13" t="s">
        <v>3</v>
      </c>
      <c r="G13" s="6" t="s">
        <v>16</v>
      </c>
      <c r="H13" s="1" t="s">
        <v>13</v>
      </c>
      <c r="J13" s="2"/>
    </row>
    <row r="14" spans="1:10">
      <c r="A14">
        <f>B14/40</f>
        <v>0</v>
      </c>
      <c r="B14">
        <v>0</v>
      </c>
      <c r="C14">
        <v>0</v>
      </c>
      <c r="D14">
        <v>88.837372000000002</v>
      </c>
      <c r="E14">
        <f>D14-$H$2</f>
        <v>88.747371999999999</v>
      </c>
      <c r="F14">
        <f>4.8769*E14</f>
        <v>432.81205850679999</v>
      </c>
      <c r="G14" s="6">
        <f>F14*100/96/1000</f>
        <v>0.4508458942779166</v>
      </c>
      <c r="H14">
        <f>G14*96*1000</f>
        <v>43281.205850679995</v>
      </c>
    </row>
    <row r="15" spans="1:10">
      <c r="A15">
        <f>B15/40</f>
        <v>0</v>
      </c>
      <c r="B15">
        <v>0</v>
      </c>
      <c r="C15">
        <v>1</v>
      </c>
      <c r="D15">
        <v>0.34471499999999999</v>
      </c>
      <c r="E15">
        <f t="shared" ref="E15:E37" si="0">D15-$H$2</f>
        <v>0.25471500000000002</v>
      </c>
      <c r="F15">
        <f>4.8769*E15</f>
        <v>1.2422195835000001</v>
      </c>
      <c r="G15" s="6">
        <f t="shared" ref="G15:G37" si="1">F15*100/96/1000</f>
        <v>1.2939787328125E-3</v>
      </c>
      <c r="H15">
        <f t="shared" ref="H15:H37" si="2">G15*96*1000</f>
        <v>124.22195834999999</v>
      </c>
    </row>
    <row r="16" spans="1:10">
      <c r="A16">
        <f t="shared" ref="A16:A37" si="3">B16/40</f>
        <v>0.2</v>
      </c>
      <c r="B16">
        <v>8</v>
      </c>
      <c r="C16">
        <v>2</v>
      </c>
      <c r="D16">
        <v>4.1998090000000001</v>
      </c>
      <c r="E16">
        <f t="shared" si="0"/>
        <v>4.1098090000000003</v>
      </c>
      <c r="F16">
        <f t="shared" ref="F16:F37" si="4">4.8769*E16</f>
        <v>20.0431275121</v>
      </c>
      <c r="G16" s="6">
        <f t="shared" si="1"/>
        <v>2.0878257825104166E-2</v>
      </c>
      <c r="H16">
        <f t="shared" si="2"/>
        <v>2004.31275121</v>
      </c>
    </row>
    <row r="17" spans="1:9">
      <c r="A17">
        <f t="shared" si="3"/>
        <v>0.4</v>
      </c>
      <c r="B17">
        <v>16</v>
      </c>
      <c r="C17">
        <v>3</v>
      </c>
      <c r="D17">
        <v>35.463737000000002</v>
      </c>
      <c r="E17">
        <f t="shared" si="0"/>
        <v>35.373736999999998</v>
      </c>
      <c r="F17">
        <f t="shared" si="4"/>
        <v>172.51417797529999</v>
      </c>
      <c r="G17" s="6">
        <f t="shared" si="1"/>
        <v>0.17970226872427081</v>
      </c>
      <c r="H17">
        <f t="shared" si="2"/>
        <v>17251.417797529997</v>
      </c>
    </row>
    <row r="18" spans="1:9">
      <c r="A18">
        <f t="shared" si="3"/>
        <v>0.6</v>
      </c>
      <c r="B18">
        <v>24</v>
      </c>
      <c r="C18">
        <v>4</v>
      </c>
      <c r="D18">
        <v>38.149926999999998</v>
      </c>
      <c r="E18">
        <f t="shared" si="0"/>
        <v>38.059926999999995</v>
      </c>
      <c r="F18">
        <f t="shared" si="4"/>
        <v>185.61445798629998</v>
      </c>
      <c r="G18" s="6">
        <f t="shared" si="1"/>
        <v>0.19334839373572912</v>
      </c>
      <c r="H18">
        <f t="shared" si="2"/>
        <v>18561.445798629997</v>
      </c>
    </row>
    <row r="19" spans="1:9">
      <c r="A19">
        <f t="shared" si="3"/>
        <v>0.8</v>
      </c>
      <c r="B19">
        <v>32</v>
      </c>
      <c r="C19">
        <v>5</v>
      </c>
      <c r="D19">
        <v>57.005853000000002</v>
      </c>
      <c r="E19">
        <f t="shared" si="0"/>
        <v>56.915852999999998</v>
      </c>
      <c r="F19">
        <f t="shared" si="4"/>
        <v>277.57292349569997</v>
      </c>
      <c r="G19" s="6">
        <f t="shared" si="1"/>
        <v>0.28913846197468746</v>
      </c>
      <c r="H19">
        <f t="shared" si="2"/>
        <v>27757.292349569994</v>
      </c>
    </row>
    <row r="20" spans="1:9">
      <c r="A20">
        <f t="shared" si="3"/>
        <v>1</v>
      </c>
      <c r="B20">
        <v>40</v>
      </c>
      <c r="C20">
        <v>6</v>
      </c>
      <c r="D20">
        <v>82.306340000000006</v>
      </c>
      <c r="E20">
        <f t="shared" si="0"/>
        <v>82.216340000000002</v>
      </c>
      <c r="F20">
        <f t="shared" si="4"/>
        <v>400.96086854600003</v>
      </c>
      <c r="G20" s="6">
        <f t="shared" si="1"/>
        <v>0.41766757140208344</v>
      </c>
      <c r="H20">
        <f t="shared" si="2"/>
        <v>40096.086854600013</v>
      </c>
    </row>
    <row r="21" spans="1:9">
      <c r="A21">
        <f t="shared" si="3"/>
        <v>1.2</v>
      </c>
      <c r="B21">
        <v>48</v>
      </c>
      <c r="C21">
        <v>7</v>
      </c>
      <c r="D21">
        <v>64.712716999999998</v>
      </c>
      <c r="E21">
        <f t="shared" si="0"/>
        <v>64.622716999999994</v>
      </c>
      <c r="F21">
        <f t="shared" si="4"/>
        <v>315.15852853729996</v>
      </c>
      <c r="G21" s="6">
        <f t="shared" si="1"/>
        <v>0.32829013389302081</v>
      </c>
      <c r="H21">
        <f t="shared" si="2"/>
        <v>31515.852853729997</v>
      </c>
    </row>
    <row r="22" spans="1:9">
      <c r="A22">
        <f t="shared" si="3"/>
        <v>1.4</v>
      </c>
      <c r="B22">
        <v>56</v>
      </c>
      <c r="C22">
        <v>8</v>
      </c>
      <c r="D22">
        <v>69.311856000000006</v>
      </c>
      <c r="E22">
        <f t="shared" si="0"/>
        <v>69.221856000000002</v>
      </c>
      <c r="F22">
        <f t="shared" si="4"/>
        <v>337.58806952640003</v>
      </c>
      <c r="G22" s="6">
        <f t="shared" si="1"/>
        <v>0.3516542390900001</v>
      </c>
      <c r="H22">
        <f t="shared" si="2"/>
        <v>33758.806952640007</v>
      </c>
    </row>
    <row r="23" spans="1:9">
      <c r="A23">
        <f t="shared" si="3"/>
        <v>1.6</v>
      </c>
      <c r="B23">
        <v>64</v>
      </c>
      <c r="C23">
        <v>9</v>
      </c>
      <c r="D23">
        <v>94.126620000000003</v>
      </c>
      <c r="E23">
        <f t="shared" si="0"/>
        <v>94.036619999999999</v>
      </c>
      <c r="F23">
        <f t="shared" si="4"/>
        <v>458.60719207800003</v>
      </c>
      <c r="G23" s="6">
        <f t="shared" si="1"/>
        <v>0.47771582508124999</v>
      </c>
      <c r="H23">
        <f t="shared" si="2"/>
        <v>45860.719207800001</v>
      </c>
    </row>
    <row r="24" spans="1:9">
      <c r="A24">
        <f t="shared" si="3"/>
        <v>1.8</v>
      </c>
      <c r="B24">
        <v>72</v>
      </c>
      <c r="C24">
        <v>10</v>
      </c>
      <c r="D24">
        <v>87.279515000000004</v>
      </c>
      <c r="E24">
        <f t="shared" si="0"/>
        <v>87.189515</v>
      </c>
      <c r="F24">
        <f t="shared" si="4"/>
        <v>425.21454570349999</v>
      </c>
      <c r="G24" s="6">
        <f t="shared" si="1"/>
        <v>0.44293181844114582</v>
      </c>
      <c r="H24">
        <f t="shared" si="2"/>
        <v>42521.454570350004</v>
      </c>
    </row>
    <row r="25" spans="1:9">
      <c r="A25">
        <f t="shared" si="3"/>
        <v>2</v>
      </c>
      <c r="B25">
        <v>80</v>
      </c>
      <c r="C25">
        <v>11</v>
      </c>
      <c r="D25">
        <v>94.519526999999997</v>
      </c>
      <c r="E25">
        <f t="shared" si="0"/>
        <v>94.429526999999993</v>
      </c>
      <c r="F25">
        <f t="shared" si="4"/>
        <v>460.52336022629999</v>
      </c>
      <c r="G25" s="6">
        <f t="shared" si="1"/>
        <v>0.4797118335690625</v>
      </c>
      <c r="H25">
        <f t="shared" si="2"/>
        <v>46052.336022629999</v>
      </c>
    </row>
    <row r="26" spans="1:9">
      <c r="A26">
        <f t="shared" si="3"/>
        <v>2.2000000000000002</v>
      </c>
      <c r="B26">
        <v>88</v>
      </c>
      <c r="C26">
        <v>12</v>
      </c>
      <c r="D26">
        <v>99.999769000000001</v>
      </c>
      <c r="E26">
        <f t="shared" si="0"/>
        <v>99.909768999999997</v>
      </c>
      <c r="F26">
        <f t="shared" si="4"/>
        <v>487.24995243609999</v>
      </c>
      <c r="G26" s="6">
        <f t="shared" si="1"/>
        <v>0.50755203378760416</v>
      </c>
      <c r="H26">
        <f t="shared" si="2"/>
        <v>48724.995243609999</v>
      </c>
      <c r="I26" s="2"/>
    </row>
    <row r="27" spans="1:9">
      <c r="A27">
        <f t="shared" si="3"/>
        <v>2.4</v>
      </c>
      <c r="B27">
        <v>96</v>
      </c>
      <c r="C27">
        <v>13</v>
      </c>
      <c r="D27">
        <v>61.689973000000002</v>
      </c>
      <c r="E27">
        <f t="shared" si="0"/>
        <v>61.599972999999999</v>
      </c>
      <c r="F27">
        <f t="shared" si="4"/>
        <v>300.4169083237</v>
      </c>
      <c r="G27" s="6">
        <f t="shared" si="1"/>
        <v>0.31293427950385416</v>
      </c>
      <c r="H27">
        <f t="shared" si="2"/>
        <v>30041.690832370001</v>
      </c>
      <c r="I27" s="2"/>
    </row>
    <row r="28" spans="1:9">
      <c r="A28">
        <f t="shared" si="3"/>
        <v>2.6</v>
      </c>
      <c r="B28">
        <v>104</v>
      </c>
      <c r="C28">
        <v>14</v>
      </c>
      <c r="D28">
        <v>84.096324999999993</v>
      </c>
      <c r="E28">
        <f t="shared" si="0"/>
        <v>84.00632499999999</v>
      </c>
      <c r="F28">
        <f t="shared" si="4"/>
        <v>409.69044639249995</v>
      </c>
      <c r="G28" s="6">
        <f t="shared" si="1"/>
        <v>0.42676088165885406</v>
      </c>
      <c r="H28">
        <f t="shared" si="2"/>
        <v>40969.044639249987</v>
      </c>
    </row>
    <row r="29" spans="1:9">
      <c r="A29">
        <f t="shared" si="3"/>
        <v>2.8</v>
      </c>
      <c r="B29">
        <v>112</v>
      </c>
      <c r="C29">
        <v>15</v>
      </c>
      <c r="D29">
        <v>67.348417999999995</v>
      </c>
      <c r="E29">
        <f t="shared" si="0"/>
        <v>67.258417999999992</v>
      </c>
      <c r="F29">
        <f t="shared" si="4"/>
        <v>328.01257874419997</v>
      </c>
      <c r="G29" s="6">
        <f t="shared" si="1"/>
        <v>0.34167976952520829</v>
      </c>
      <c r="H29">
        <f t="shared" si="2"/>
        <v>32801.257874419993</v>
      </c>
    </row>
    <row r="30" spans="1:9">
      <c r="A30">
        <f t="shared" si="3"/>
        <v>3</v>
      </c>
      <c r="B30">
        <v>120</v>
      </c>
      <c r="C30">
        <v>16</v>
      </c>
      <c r="D30">
        <v>93.975193000000004</v>
      </c>
      <c r="E30">
        <f t="shared" si="0"/>
        <v>93.885193000000001</v>
      </c>
      <c r="F30">
        <f t="shared" si="4"/>
        <v>457.86869774170003</v>
      </c>
      <c r="G30" s="6">
        <f t="shared" si="1"/>
        <v>0.47694656014760423</v>
      </c>
      <c r="H30">
        <f t="shared" si="2"/>
        <v>45786.869774170009</v>
      </c>
    </row>
    <row r="31" spans="1:9">
      <c r="A31">
        <f t="shared" si="3"/>
        <v>3.2</v>
      </c>
      <c r="B31">
        <v>128</v>
      </c>
      <c r="C31">
        <v>17</v>
      </c>
      <c r="D31">
        <v>89.109273000000002</v>
      </c>
      <c r="E31">
        <f t="shared" si="0"/>
        <v>89.019272999999998</v>
      </c>
      <c r="F31">
        <f t="shared" si="4"/>
        <v>434.13809249370001</v>
      </c>
      <c r="G31" s="6">
        <f t="shared" si="1"/>
        <v>0.45222717968093751</v>
      </c>
      <c r="H31">
        <f t="shared" si="2"/>
        <v>43413.809249370002</v>
      </c>
    </row>
    <row r="32" spans="1:9">
      <c r="A32">
        <f t="shared" si="3"/>
        <v>3.4</v>
      </c>
      <c r="B32">
        <v>136</v>
      </c>
      <c r="C32">
        <v>18</v>
      </c>
      <c r="D32">
        <v>89.952568999999997</v>
      </c>
      <c r="E32">
        <f t="shared" si="0"/>
        <v>89.862568999999993</v>
      </c>
      <c r="F32">
        <f t="shared" si="4"/>
        <v>438.25076275609996</v>
      </c>
      <c r="G32" s="6">
        <f t="shared" si="1"/>
        <v>0.45651121120427074</v>
      </c>
      <c r="H32">
        <f t="shared" si="2"/>
        <v>43825.076275609987</v>
      </c>
    </row>
    <row r="33" spans="1:12">
      <c r="A33">
        <f t="shared" si="3"/>
        <v>3.6</v>
      </c>
      <c r="B33">
        <v>144</v>
      </c>
      <c r="C33">
        <v>19</v>
      </c>
      <c r="D33">
        <v>56.682274999999997</v>
      </c>
      <c r="E33">
        <f t="shared" si="0"/>
        <v>56.592274999999994</v>
      </c>
      <c r="F33">
        <f t="shared" si="4"/>
        <v>275.99486594749999</v>
      </c>
      <c r="G33" s="6">
        <f t="shared" si="1"/>
        <v>0.28749465202864583</v>
      </c>
      <c r="H33">
        <f t="shared" si="2"/>
        <v>27599.486594749997</v>
      </c>
    </row>
    <row r="34" spans="1:12">
      <c r="A34">
        <f t="shared" si="3"/>
        <v>3.8</v>
      </c>
      <c r="B34">
        <v>152</v>
      </c>
      <c r="C34">
        <v>20</v>
      </c>
      <c r="D34">
        <v>95.273551999999995</v>
      </c>
      <c r="E34">
        <f t="shared" si="0"/>
        <v>95.183551999999992</v>
      </c>
      <c r="F34">
        <f t="shared" si="4"/>
        <v>464.20066474879997</v>
      </c>
      <c r="G34" s="6">
        <f t="shared" si="1"/>
        <v>0.48354235911333332</v>
      </c>
      <c r="H34">
        <f t="shared" si="2"/>
        <v>46420.066474880005</v>
      </c>
    </row>
    <row r="35" spans="1:12">
      <c r="A35">
        <f t="shared" si="3"/>
        <v>4</v>
      </c>
      <c r="B35">
        <v>160</v>
      </c>
      <c r="C35">
        <v>21</v>
      </c>
      <c r="D35">
        <v>97.148162999999997</v>
      </c>
      <c r="E35">
        <f t="shared" si="0"/>
        <v>97.058162999999993</v>
      </c>
      <c r="F35">
        <f t="shared" si="4"/>
        <v>473.34295513469999</v>
      </c>
      <c r="G35" s="6">
        <f t="shared" si="1"/>
        <v>0.4930655782653125</v>
      </c>
      <c r="H35">
        <f t="shared" si="2"/>
        <v>47334.295513469995</v>
      </c>
    </row>
    <row r="36" spans="1:12">
      <c r="A36">
        <f t="shared" si="3"/>
        <v>4.2</v>
      </c>
      <c r="B36">
        <v>168</v>
      </c>
      <c r="C36">
        <v>22</v>
      </c>
      <c r="D36">
        <v>90.648602999999994</v>
      </c>
      <c r="E36">
        <f t="shared" si="0"/>
        <v>90.558602999999991</v>
      </c>
      <c r="F36">
        <f t="shared" si="4"/>
        <v>441.64525097069998</v>
      </c>
      <c r="G36" s="6">
        <f t="shared" si="1"/>
        <v>0.46004713642781253</v>
      </c>
      <c r="H36">
        <f t="shared" si="2"/>
        <v>44164.525097070007</v>
      </c>
      <c r="L36">
        <v>520</v>
      </c>
    </row>
    <row r="37" spans="1:12">
      <c r="A37">
        <f t="shared" si="3"/>
        <v>4.4000000000000004</v>
      </c>
      <c r="B37">
        <v>176</v>
      </c>
      <c r="C37">
        <v>23</v>
      </c>
      <c r="D37">
        <v>89.030643999999995</v>
      </c>
      <c r="E37">
        <f t="shared" si="0"/>
        <v>88.940643999999992</v>
      </c>
      <c r="F37">
        <f t="shared" si="4"/>
        <v>433.75462672359998</v>
      </c>
      <c r="G37" s="6">
        <f t="shared" si="1"/>
        <v>0.45182773617041672</v>
      </c>
      <c r="H37">
        <f t="shared" si="2"/>
        <v>43375.462672360001</v>
      </c>
    </row>
    <row r="38" spans="1:12">
      <c r="F38"/>
      <c r="G38" s="6"/>
    </row>
    <row r="39" spans="1:12">
      <c r="F39"/>
      <c r="G39" s="6"/>
    </row>
    <row r="40" spans="1:12">
      <c r="F40"/>
      <c r="G40" s="6"/>
    </row>
    <row r="41" spans="1:12">
      <c r="F41"/>
      <c r="G41" s="6"/>
    </row>
    <row r="42" spans="1:12">
      <c r="F42"/>
      <c r="G42" s="6"/>
    </row>
    <row r="43" spans="1:12">
      <c r="F43"/>
      <c r="G43" s="6"/>
    </row>
    <row r="44" spans="1:12">
      <c r="D44" t="s">
        <v>4</v>
      </c>
      <c r="G44" s="2"/>
    </row>
    <row r="45" spans="1:12">
      <c r="A45" t="s">
        <v>10</v>
      </c>
      <c r="B45" t="s">
        <v>18</v>
      </c>
      <c r="C45" t="s">
        <v>17</v>
      </c>
      <c r="D45" t="s">
        <v>0</v>
      </c>
      <c r="E45" t="s">
        <v>22</v>
      </c>
      <c r="F45" t="s">
        <v>3</v>
      </c>
      <c r="G45" s="6" t="s">
        <v>16</v>
      </c>
    </row>
    <row r="46" spans="1:12">
      <c r="A46">
        <f t="shared" ref="A46:A69" si="5">B46/40</f>
        <v>0</v>
      </c>
      <c r="B46">
        <v>0</v>
      </c>
      <c r="C46">
        <v>0</v>
      </c>
      <c r="D46">
        <v>0</v>
      </c>
      <c r="E46" s="1">
        <f t="shared" ref="E46:E69" si="6">D46-$I$2</f>
        <v>0</v>
      </c>
      <c r="F46">
        <f>2.9003*E46</f>
        <v>0</v>
      </c>
      <c r="G46" s="6">
        <f t="shared" ref="G46:G69" si="7">F46*100/35.5/1000</f>
        <v>0</v>
      </c>
      <c r="H46">
        <f>G46*35.5*1000</f>
        <v>0</v>
      </c>
    </row>
    <row r="47" spans="1:12">
      <c r="A47">
        <f t="shared" si="5"/>
        <v>0</v>
      </c>
      <c r="B47">
        <v>0</v>
      </c>
      <c r="C47">
        <v>1</v>
      </c>
      <c r="D47">
        <v>55.325161999999999</v>
      </c>
      <c r="E47">
        <f t="shared" si="6"/>
        <v>55.325161999999999</v>
      </c>
      <c r="F47">
        <f t="shared" ref="F47:F69" si="8">2.9003*E47</f>
        <v>160.45956734859999</v>
      </c>
      <c r="G47" s="6">
        <f t="shared" si="7"/>
        <v>0.45199878126366194</v>
      </c>
      <c r="H47">
        <f t="shared" ref="H47:H66" si="9">G47*35.5*1000</f>
        <v>16045.956734859999</v>
      </c>
    </row>
    <row r="48" spans="1:12">
      <c r="A48">
        <f t="shared" si="5"/>
        <v>0.2</v>
      </c>
      <c r="B48">
        <v>8</v>
      </c>
      <c r="C48">
        <v>2</v>
      </c>
      <c r="D48">
        <v>35.748370000000001</v>
      </c>
      <c r="E48">
        <f t="shared" si="6"/>
        <v>35.748370000000001</v>
      </c>
      <c r="F48">
        <f t="shared" si="8"/>
        <v>103.680997511</v>
      </c>
      <c r="G48" s="6">
        <f t="shared" si="7"/>
        <v>0.29205914791830984</v>
      </c>
      <c r="H48">
        <f t="shared" si="9"/>
        <v>10368.099751099999</v>
      </c>
    </row>
    <row r="49" spans="1:8">
      <c r="A49">
        <f t="shared" si="5"/>
        <v>0.4</v>
      </c>
      <c r="B49">
        <v>16</v>
      </c>
      <c r="C49">
        <v>3</v>
      </c>
      <c r="D49">
        <v>35.303845000000003</v>
      </c>
      <c r="E49">
        <f t="shared" si="6"/>
        <v>35.303845000000003</v>
      </c>
      <c r="F49">
        <f t="shared" si="8"/>
        <v>102.39174165350001</v>
      </c>
      <c r="G49" s="6">
        <f t="shared" si="7"/>
        <v>0.28842744127746484</v>
      </c>
      <c r="H49">
        <f t="shared" si="9"/>
        <v>10239.174165350003</v>
      </c>
    </row>
    <row r="50" spans="1:8">
      <c r="A50">
        <f t="shared" si="5"/>
        <v>0.6</v>
      </c>
      <c r="B50">
        <v>24</v>
      </c>
      <c r="C50">
        <v>4</v>
      </c>
      <c r="D50">
        <v>19.245726000000001</v>
      </c>
      <c r="E50">
        <f t="shared" si="6"/>
        <v>19.245726000000001</v>
      </c>
      <c r="F50">
        <f t="shared" si="8"/>
        <v>55.818379117800006</v>
      </c>
      <c r="G50" s="6">
        <f t="shared" si="7"/>
        <v>0.15723487075436621</v>
      </c>
      <c r="H50">
        <f t="shared" si="9"/>
        <v>5581.8379117800005</v>
      </c>
    </row>
    <row r="51" spans="1:8">
      <c r="A51">
        <f t="shared" si="5"/>
        <v>0.8</v>
      </c>
      <c r="B51">
        <v>32</v>
      </c>
      <c r="C51">
        <v>5</v>
      </c>
      <c r="D51">
        <v>19.829696999999999</v>
      </c>
      <c r="E51">
        <f t="shared" si="6"/>
        <v>19.829696999999999</v>
      </c>
      <c r="F51">
        <f t="shared" si="8"/>
        <v>57.512070209100003</v>
      </c>
      <c r="G51" s="6">
        <f t="shared" si="7"/>
        <v>0.16200583157492957</v>
      </c>
      <c r="H51">
        <f t="shared" si="9"/>
        <v>5751.2070209100002</v>
      </c>
    </row>
    <row r="52" spans="1:8">
      <c r="A52">
        <f t="shared" si="5"/>
        <v>1</v>
      </c>
      <c r="B52">
        <v>40</v>
      </c>
      <c r="C52">
        <v>6</v>
      </c>
      <c r="D52">
        <v>22.344491999999999</v>
      </c>
      <c r="E52">
        <f t="shared" si="6"/>
        <v>22.344491999999999</v>
      </c>
      <c r="F52">
        <f t="shared" si="8"/>
        <v>64.805730147600002</v>
      </c>
      <c r="G52" s="6">
        <f t="shared" si="7"/>
        <v>0.18255135252845073</v>
      </c>
      <c r="H52">
        <f t="shared" si="9"/>
        <v>6480.5730147600007</v>
      </c>
    </row>
    <row r="53" spans="1:8">
      <c r="A53">
        <f t="shared" si="5"/>
        <v>1.2</v>
      </c>
      <c r="B53">
        <v>48</v>
      </c>
      <c r="C53">
        <v>7</v>
      </c>
      <c r="D53">
        <v>14.249736</v>
      </c>
      <c r="E53">
        <f t="shared" si="6"/>
        <v>14.249736</v>
      </c>
      <c r="F53">
        <f t="shared" si="8"/>
        <v>41.328509320800002</v>
      </c>
      <c r="G53" s="6">
        <f t="shared" si="7"/>
        <v>0.11641833611492959</v>
      </c>
      <c r="H53">
        <f t="shared" si="9"/>
        <v>4132.8509320800003</v>
      </c>
    </row>
    <row r="54" spans="1:8">
      <c r="A54">
        <f t="shared" si="5"/>
        <v>1.4</v>
      </c>
      <c r="B54">
        <v>56</v>
      </c>
      <c r="C54">
        <v>8</v>
      </c>
      <c r="D54">
        <v>13.049395000000001</v>
      </c>
      <c r="E54">
        <f t="shared" si="6"/>
        <v>13.049395000000001</v>
      </c>
      <c r="F54">
        <f t="shared" si="8"/>
        <v>37.847160318500002</v>
      </c>
      <c r="G54" s="6">
        <f t="shared" si="7"/>
        <v>0.10661171920704225</v>
      </c>
      <c r="H54">
        <f t="shared" si="9"/>
        <v>3784.71603185</v>
      </c>
    </row>
    <row r="55" spans="1:8">
      <c r="A55">
        <f t="shared" si="5"/>
        <v>1.6</v>
      </c>
      <c r="B55">
        <v>64</v>
      </c>
      <c r="C55">
        <v>9</v>
      </c>
      <c r="D55">
        <v>15.897192</v>
      </c>
      <c r="E55">
        <f t="shared" si="6"/>
        <v>15.897192</v>
      </c>
      <c r="F55">
        <f t="shared" si="8"/>
        <v>46.106625957600002</v>
      </c>
      <c r="G55" s="6">
        <f t="shared" si="7"/>
        <v>0.12987781959887323</v>
      </c>
      <c r="H55">
        <f t="shared" si="9"/>
        <v>4610.6625957599999</v>
      </c>
    </row>
    <row r="56" spans="1:8">
      <c r="A56">
        <f t="shared" si="5"/>
        <v>1.8</v>
      </c>
      <c r="B56">
        <v>72</v>
      </c>
      <c r="C56">
        <v>10</v>
      </c>
      <c r="D56">
        <v>12.887124999999999</v>
      </c>
      <c r="E56">
        <f t="shared" si="6"/>
        <v>12.887124999999999</v>
      </c>
      <c r="F56">
        <f t="shared" si="8"/>
        <v>37.376528637500002</v>
      </c>
      <c r="G56" s="6">
        <f t="shared" si="7"/>
        <v>0.10528599616197183</v>
      </c>
      <c r="H56">
        <f t="shared" si="9"/>
        <v>3737.6528637500001</v>
      </c>
    </row>
    <row r="57" spans="1:8">
      <c r="A57">
        <f t="shared" si="5"/>
        <v>2</v>
      </c>
      <c r="B57">
        <v>80</v>
      </c>
      <c r="C57">
        <v>11</v>
      </c>
      <c r="D57">
        <v>12.618885000000001</v>
      </c>
      <c r="E57">
        <f t="shared" si="6"/>
        <v>12.618885000000001</v>
      </c>
      <c r="F57">
        <f t="shared" si="8"/>
        <v>36.598552165500003</v>
      </c>
      <c r="G57" s="6">
        <f t="shared" si="7"/>
        <v>0.10309451314225353</v>
      </c>
      <c r="H57">
        <f t="shared" si="9"/>
        <v>3659.85521655</v>
      </c>
    </row>
    <row r="58" spans="1:8">
      <c r="A58">
        <f t="shared" si="5"/>
        <v>2.2000000000000002</v>
      </c>
      <c r="B58">
        <v>88</v>
      </c>
      <c r="C58">
        <v>12</v>
      </c>
      <c r="D58">
        <v>12.171029000000001</v>
      </c>
      <c r="E58">
        <f t="shared" si="6"/>
        <v>12.171029000000001</v>
      </c>
      <c r="F58">
        <f t="shared" si="8"/>
        <v>35.299635408700006</v>
      </c>
      <c r="G58" s="6">
        <f t="shared" si="7"/>
        <v>9.9435592700563388E-2</v>
      </c>
      <c r="H58">
        <f t="shared" si="9"/>
        <v>3529.9635408700001</v>
      </c>
    </row>
    <row r="59" spans="1:8">
      <c r="A59">
        <f t="shared" si="5"/>
        <v>2.4</v>
      </c>
      <c r="B59">
        <v>96</v>
      </c>
      <c r="C59">
        <v>13</v>
      </c>
      <c r="D59">
        <v>6.6395080000000002</v>
      </c>
      <c r="E59">
        <f t="shared" si="6"/>
        <v>6.6395080000000002</v>
      </c>
      <c r="F59">
        <f t="shared" si="8"/>
        <v>19.256565052400003</v>
      </c>
      <c r="G59" s="6">
        <f t="shared" si="7"/>
        <v>5.4243845218028178E-2</v>
      </c>
      <c r="H59">
        <f t="shared" si="9"/>
        <v>1925.6565052400003</v>
      </c>
    </row>
    <row r="60" spans="1:8">
      <c r="A60">
        <f t="shared" si="5"/>
        <v>2.6</v>
      </c>
      <c r="B60">
        <v>104</v>
      </c>
      <c r="C60">
        <v>14</v>
      </c>
      <c r="D60">
        <v>8.5917480000000008</v>
      </c>
      <c r="E60">
        <f t="shared" si="6"/>
        <v>8.5917480000000008</v>
      </c>
      <c r="F60">
        <f t="shared" si="8"/>
        <v>24.918646724400002</v>
      </c>
      <c r="G60" s="6">
        <f t="shared" si="7"/>
        <v>7.0193371054647888E-2</v>
      </c>
      <c r="H60">
        <f t="shared" si="9"/>
        <v>2491.86467244</v>
      </c>
    </row>
    <row r="61" spans="1:8">
      <c r="A61">
        <f t="shared" si="5"/>
        <v>2.8</v>
      </c>
      <c r="B61">
        <v>112</v>
      </c>
      <c r="C61">
        <v>15</v>
      </c>
      <c r="D61">
        <v>6.220059</v>
      </c>
      <c r="E61">
        <f t="shared" si="6"/>
        <v>6.220059</v>
      </c>
      <c r="F61">
        <f t="shared" si="8"/>
        <v>18.040037117699999</v>
      </c>
      <c r="G61" s="6">
        <f t="shared" si="7"/>
        <v>5.0817005965352109E-2</v>
      </c>
      <c r="H61">
        <f t="shared" si="9"/>
        <v>1804.0037117699999</v>
      </c>
    </row>
    <row r="62" spans="1:8">
      <c r="A62">
        <f t="shared" si="5"/>
        <v>3</v>
      </c>
      <c r="B62">
        <v>120</v>
      </c>
      <c r="C62">
        <v>16</v>
      </c>
      <c r="D62">
        <v>8.3220299999999998</v>
      </c>
      <c r="E62">
        <f t="shared" si="6"/>
        <v>8.3220299999999998</v>
      </c>
      <c r="F62">
        <f t="shared" si="8"/>
        <v>24.136383608999999</v>
      </c>
      <c r="G62" s="6">
        <f t="shared" si="7"/>
        <v>6.7989812983098585E-2</v>
      </c>
      <c r="H62">
        <f t="shared" si="9"/>
        <v>2413.6383609</v>
      </c>
    </row>
    <row r="63" spans="1:8">
      <c r="A63">
        <f t="shared" si="5"/>
        <v>3.2</v>
      </c>
      <c r="B63">
        <v>128</v>
      </c>
      <c r="C63">
        <v>17</v>
      </c>
      <c r="D63">
        <v>7.3883609999999997</v>
      </c>
      <c r="E63">
        <f t="shared" si="6"/>
        <v>7.3883609999999997</v>
      </c>
      <c r="F63">
        <f t="shared" si="8"/>
        <v>21.428463408300001</v>
      </c>
      <c r="G63" s="6">
        <f t="shared" si="7"/>
        <v>6.0361868755774643E-2</v>
      </c>
      <c r="H63">
        <f t="shared" si="9"/>
        <v>2142.8463408299999</v>
      </c>
    </row>
    <row r="64" spans="1:8">
      <c r="A64">
        <f t="shared" si="5"/>
        <v>3.4</v>
      </c>
      <c r="B64">
        <v>136</v>
      </c>
      <c r="C64">
        <v>18</v>
      </c>
      <c r="D64">
        <v>6.9291619999999998</v>
      </c>
      <c r="E64">
        <f t="shared" si="6"/>
        <v>6.9291619999999998</v>
      </c>
      <c r="F64">
        <f t="shared" si="8"/>
        <v>20.096648548600001</v>
      </c>
      <c r="G64" s="6">
        <f t="shared" si="7"/>
        <v>5.6610277601690143E-2</v>
      </c>
      <c r="H64">
        <f t="shared" si="9"/>
        <v>2009.6648548600001</v>
      </c>
    </row>
    <row r="65" spans="1:8">
      <c r="A65">
        <f t="shared" si="5"/>
        <v>3.6</v>
      </c>
      <c r="B65">
        <v>144</v>
      </c>
      <c r="C65">
        <v>19</v>
      </c>
      <c r="D65">
        <v>3.9607030000000001</v>
      </c>
      <c r="E65">
        <f t="shared" si="6"/>
        <v>3.9607030000000001</v>
      </c>
      <c r="F65">
        <f t="shared" si="8"/>
        <v>11.4872269109</v>
      </c>
      <c r="G65" s="6">
        <f t="shared" si="7"/>
        <v>3.235838566450705E-2</v>
      </c>
      <c r="H65">
        <f t="shared" si="9"/>
        <v>1148.7226910900004</v>
      </c>
    </row>
    <row r="66" spans="1:8">
      <c r="A66">
        <f t="shared" si="5"/>
        <v>3.8</v>
      </c>
      <c r="B66">
        <v>152</v>
      </c>
      <c r="C66">
        <v>20</v>
      </c>
      <c r="D66">
        <v>6.5915600000000003</v>
      </c>
      <c r="E66">
        <f t="shared" si="6"/>
        <v>6.5915600000000003</v>
      </c>
      <c r="F66">
        <f t="shared" si="8"/>
        <v>19.117501468</v>
      </c>
      <c r="G66" s="6">
        <f t="shared" si="7"/>
        <v>5.3852116811267607E-2</v>
      </c>
      <c r="H66">
        <f t="shared" si="9"/>
        <v>1911.7501468</v>
      </c>
    </row>
    <row r="67" spans="1:8">
      <c r="A67">
        <f t="shared" si="5"/>
        <v>4</v>
      </c>
      <c r="B67">
        <v>160</v>
      </c>
      <c r="C67">
        <v>21</v>
      </c>
      <c r="D67">
        <v>6.3665589999999996</v>
      </c>
      <c r="E67">
        <f t="shared" si="6"/>
        <v>6.3665589999999996</v>
      </c>
      <c r="F67">
        <f t="shared" si="8"/>
        <v>18.4649310677</v>
      </c>
      <c r="G67" s="6">
        <f t="shared" si="7"/>
        <v>5.2013890331549288E-2</v>
      </c>
      <c r="H67">
        <f>G67*35.5*1000</f>
        <v>1846.4931067699997</v>
      </c>
    </row>
    <row r="68" spans="1:8">
      <c r="A68">
        <f t="shared" si="5"/>
        <v>4.2</v>
      </c>
      <c r="B68">
        <v>168</v>
      </c>
      <c r="C68">
        <v>22</v>
      </c>
      <c r="D68">
        <v>5.5916430000000004</v>
      </c>
      <c r="E68">
        <f t="shared" si="6"/>
        <v>5.5916430000000004</v>
      </c>
      <c r="F68">
        <f t="shared" si="8"/>
        <v>16.217442192900002</v>
      </c>
      <c r="G68" s="6">
        <f t="shared" si="7"/>
        <v>4.5682935754647894E-2</v>
      </c>
      <c r="H68">
        <f>G68*35.5*1000</f>
        <v>1621.7442192900003</v>
      </c>
    </row>
    <row r="69" spans="1:8">
      <c r="A69">
        <f t="shared" si="5"/>
        <v>4.4000000000000004</v>
      </c>
      <c r="B69">
        <v>176</v>
      </c>
      <c r="C69">
        <v>23</v>
      </c>
      <c r="D69">
        <v>5.2055119999999997</v>
      </c>
      <c r="E69">
        <f t="shared" si="6"/>
        <v>5.2055119999999997</v>
      </c>
      <c r="F69">
        <f t="shared" si="8"/>
        <v>15.0975464536</v>
      </c>
      <c r="G69" s="6">
        <f t="shared" si="7"/>
        <v>4.252829986929578E-2</v>
      </c>
      <c r="H69">
        <f>G69*35.5*1000</f>
        <v>1509.75464536</v>
      </c>
    </row>
    <row r="88" spans="6:7">
      <c r="F88"/>
      <c r="G88" s="6"/>
    </row>
    <row r="89" spans="6:7">
      <c r="F89"/>
      <c r="G89" s="6"/>
    </row>
    <row r="90" spans="6:7">
      <c r="F90"/>
      <c r="G90" s="6"/>
    </row>
    <row r="91" spans="6:7">
      <c r="F91"/>
      <c r="G91" s="6"/>
    </row>
    <row r="92" spans="6:7">
      <c r="F92"/>
      <c r="G92" s="6"/>
    </row>
    <row r="93" spans="6:7">
      <c r="F93"/>
      <c r="G93" s="6"/>
    </row>
    <row r="94" spans="6:7">
      <c r="F94"/>
      <c r="G94" s="6"/>
    </row>
    <row r="95" spans="6:7">
      <c r="F95"/>
      <c r="G95" s="6"/>
    </row>
    <row r="96" spans="6:7">
      <c r="F96"/>
      <c r="G96" s="6"/>
    </row>
    <row r="97" spans="6:7">
      <c r="F97"/>
      <c r="G97" s="6"/>
    </row>
    <row r="98" spans="6:7">
      <c r="F98"/>
      <c r="G98" s="6"/>
    </row>
    <row r="99" spans="6:7">
      <c r="F99"/>
      <c r="G99" s="6"/>
    </row>
    <row r="100" spans="6:7">
      <c r="F100"/>
      <c r="G100" s="6"/>
    </row>
    <row r="101" spans="6:7">
      <c r="F101"/>
      <c r="G101" s="6"/>
    </row>
    <row r="102" spans="6:7">
      <c r="F102"/>
      <c r="G102" s="6"/>
    </row>
    <row r="103" spans="6:7">
      <c r="F103"/>
      <c r="G103" s="6"/>
    </row>
    <row r="104" spans="6:7">
      <c r="F104"/>
      <c r="G104" s="6"/>
    </row>
    <row r="105" spans="6:7">
      <c r="F105"/>
      <c r="G105" s="6"/>
    </row>
    <row r="106" spans="6:7">
      <c r="F106"/>
      <c r="G106" s="6"/>
    </row>
    <row r="107" spans="6:7">
      <c r="F107"/>
      <c r="G107" s="6"/>
    </row>
    <row r="108" spans="6:7">
      <c r="F108"/>
      <c r="G108" s="6"/>
    </row>
    <row r="109" spans="6:7">
      <c r="F109"/>
      <c r="G109" s="6"/>
    </row>
    <row r="110" spans="6:7">
      <c r="F110"/>
      <c r="G110" s="6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E53B6-7D0D-445A-98CB-3D157FB5699F}">
  <dimension ref="A1:L110"/>
  <sheetViews>
    <sheetView topLeftCell="A10" workbookViewId="0">
      <selection activeCell="I14" sqref="I14"/>
    </sheetView>
  </sheetViews>
  <sheetFormatPr defaultRowHeight="14.5"/>
  <cols>
    <col min="4" max="4" width="18.90625" customWidth="1"/>
    <col min="5" max="5" width="15.7265625" customWidth="1"/>
    <col min="6" max="6" width="17.36328125" style="6" customWidth="1"/>
    <col min="7" max="7" width="13.453125" customWidth="1"/>
    <col min="8" max="8" width="14.1796875" customWidth="1"/>
    <col min="9" max="9" width="17.453125" customWidth="1"/>
    <col min="12" max="12" width="15.453125" customWidth="1"/>
  </cols>
  <sheetData>
    <row r="1" spans="1:10">
      <c r="A1" t="s">
        <v>36</v>
      </c>
      <c r="H1" t="s">
        <v>20</v>
      </c>
      <c r="I1" t="s">
        <v>21</v>
      </c>
    </row>
    <row r="2" spans="1:10">
      <c r="A2" t="s">
        <v>5</v>
      </c>
      <c r="B2" t="s">
        <v>0</v>
      </c>
      <c r="C2" t="s">
        <v>1</v>
      </c>
      <c r="D2" s="6"/>
      <c r="E2" t="s">
        <v>4</v>
      </c>
      <c r="F2" t="s">
        <v>0</v>
      </c>
      <c r="G2" t="s">
        <v>1</v>
      </c>
      <c r="H2">
        <v>0.09</v>
      </c>
      <c r="I2">
        <v>0</v>
      </c>
    </row>
    <row r="3" spans="1:10">
      <c r="B3" s="4">
        <v>0</v>
      </c>
      <c r="C3">
        <v>0</v>
      </c>
      <c r="D3" s="6"/>
      <c r="F3" s="4">
        <v>0</v>
      </c>
      <c r="G3">
        <v>0</v>
      </c>
    </row>
    <row r="4" spans="1:10">
      <c r="B4" s="4">
        <v>0.96203399999999994</v>
      </c>
      <c r="C4">
        <v>5</v>
      </c>
      <c r="D4" s="6"/>
      <c r="F4" s="3">
        <v>0.24932499999999999</v>
      </c>
      <c r="G4">
        <v>1</v>
      </c>
    </row>
    <row r="5" spans="1:10">
      <c r="B5" s="4">
        <v>1.9548989999999999</v>
      </c>
      <c r="C5">
        <v>10</v>
      </c>
      <c r="D5" s="6"/>
      <c r="F5" s="3">
        <v>1.3831119999999999</v>
      </c>
      <c r="G5">
        <v>5</v>
      </c>
    </row>
    <row r="6" spans="1:10">
      <c r="B6" s="4">
        <v>2.9932799999999999</v>
      </c>
      <c r="C6">
        <v>15</v>
      </c>
      <c r="D6" s="6"/>
      <c r="F6" s="3">
        <v>3.0579619999999998</v>
      </c>
      <c r="G6">
        <v>10</v>
      </c>
    </row>
    <row r="7" spans="1:10">
      <c r="B7" s="4">
        <v>5.2209680000000001</v>
      </c>
      <c r="C7">
        <v>25</v>
      </c>
      <c r="D7" s="6"/>
      <c r="F7" s="3">
        <v>6.4836780000000003</v>
      </c>
      <c r="G7">
        <v>20</v>
      </c>
    </row>
    <row r="8" spans="1:10">
      <c r="B8" s="3"/>
      <c r="D8" s="6"/>
      <c r="F8" s="3">
        <v>34.605232000000001</v>
      </c>
      <c r="G8">
        <v>100</v>
      </c>
    </row>
    <row r="12" spans="1:10">
      <c r="D12" t="s">
        <v>5</v>
      </c>
    </row>
    <row r="13" spans="1:10">
      <c r="A13" t="s">
        <v>10</v>
      </c>
      <c r="B13" t="s">
        <v>18</v>
      </c>
      <c r="C13" t="s">
        <v>17</v>
      </c>
      <c r="D13" t="s">
        <v>0</v>
      </c>
      <c r="E13" t="s">
        <v>22</v>
      </c>
      <c r="F13" t="s">
        <v>3</v>
      </c>
      <c r="G13" s="6" t="s">
        <v>16</v>
      </c>
      <c r="H13" s="1" t="s">
        <v>13</v>
      </c>
      <c r="J13" s="2"/>
    </row>
    <row r="14" spans="1:10">
      <c r="A14">
        <f>B14/40</f>
        <v>0</v>
      </c>
      <c r="B14">
        <v>0</v>
      </c>
      <c r="C14">
        <v>0</v>
      </c>
      <c r="D14">
        <v>91.259690000000006</v>
      </c>
      <c r="E14">
        <f>D14-$H$2</f>
        <v>91.169690000000003</v>
      </c>
      <c r="F14">
        <f>4.8769*E14</f>
        <v>444.62546116100003</v>
      </c>
      <c r="G14" s="6">
        <f>F14*100/96/1000</f>
        <v>0.46315152204270837</v>
      </c>
      <c r="H14">
        <f>G14*96*1000</f>
        <v>44462.546116099998</v>
      </c>
    </row>
    <row r="15" spans="1:10">
      <c r="A15">
        <f>B15/40</f>
        <v>0</v>
      </c>
      <c r="B15">
        <v>0</v>
      </c>
      <c r="C15">
        <v>1</v>
      </c>
      <c r="D15">
        <v>0.90398299999999998</v>
      </c>
      <c r="E15">
        <f t="shared" ref="E15:E37" si="0">D15-$H$2</f>
        <v>0.81398300000000001</v>
      </c>
      <c r="F15">
        <f>4.8769*E15</f>
        <v>3.9697136927000001</v>
      </c>
      <c r="G15" s="6">
        <f t="shared" ref="G15:G37" si="1">F15*100/96/1000</f>
        <v>4.1351184298958335E-3</v>
      </c>
      <c r="H15">
        <f t="shared" ref="H15:H37" si="2">G15*96*1000</f>
        <v>396.97136926999997</v>
      </c>
    </row>
    <row r="16" spans="1:10">
      <c r="A16">
        <f t="shared" ref="A16:A37" si="3">B16/40</f>
        <v>0.2</v>
      </c>
      <c r="B16">
        <v>8</v>
      </c>
      <c r="C16">
        <v>2</v>
      </c>
      <c r="D16">
        <v>8.5762479999999996</v>
      </c>
      <c r="E16">
        <f t="shared" si="0"/>
        <v>8.4862479999999998</v>
      </c>
      <c r="F16">
        <f t="shared" ref="F16:F37" si="4">4.8769*E16</f>
        <v>41.386582871199998</v>
      </c>
      <c r="G16" s="6">
        <f t="shared" si="1"/>
        <v>4.3111023824166664E-2</v>
      </c>
      <c r="H16">
        <f t="shared" si="2"/>
        <v>4138.6582871199998</v>
      </c>
    </row>
    <row r="17" spans="1:9">
      <c r="A17">
        <f t="shared" si="3"/>
        <v>0.4</v>
      </c>
      <c r="B17">
        <v>16</v>
      </c>
      <c r="C17">
        <v>3</v>
      </c>
      <c r="D17">
        <v>22.773623000000001</v>
      </c>
      <c r="E17">
        <f t="shared" si="0"/>
        <v>22.683623000000001</v>
      </c>
      <c r="F17">
        <f t="shared" si="4"/>
        <v>110.62576100870001</v>
      </c>
      <c r="G17" s="6">
        <f t="shared" si="1"/>
        <v>0.11523516771739584</v>
      </c>
      <c r="H17">
        <f t="shared" si="2"/>
        <v>11062.576100870001</v>
      </c>
    </row>
    <row r="18" spans="1:9">
      <c r="A18">
        <f t="shared" si="3"/>
        <v>0.6</v>
      </c>
      <c r="B18">
        <v>24</v>
      </c>
      <c r="C18">
        <v>4</v>
      </c>
      <c r="D18">
        <v>45.193742999999998</v>
      </c>
      <c r="E18">
        <f t="shared" si="0"/>
        <v>45.103742999999994</v>
      </c>
      <c r="F18">
        <f t="shared" si="4"/>
        <v>219.96644423669997</v>
      </c>
      <c r="G18" s="6">
        <f t="shared" si="1"/>
        <v>0.22913171274656247</v>
      </c>
      <c r="H18">
        <f t="shared" si="2"/>
        <v>21996.644423669997</v>
      </c>
    </row>
    <row r="19" spans="1:9">
      <c r="A19">
        <f t="shared" si="3"/>
        <v>0.8</v>
      </c>
      <c r="B19">
        <v>32</v>
      </c>
      <c r="C19">
        <v>5</v>
      </c>
      <c r="D19">
        <v>50.090311999999997</v>
      </c>
      <c r="E19">
        <f t="shared" si="0"/>
        <v>50.000311999999994</v>
      </c>
      <c r="F19">
        <f t="shared" si="4"/>
        <v>243.84652159279997</v>
      </c>
      <c r="G19" s="6">
        <f t="shared" si="1"/>
        <v>0.25400679332583331</v>
      </c>
      <c r="H19">
        <f t="shared" si="2"/>
        <v>24384.652159279998</v>
      </c>
    </row>
    <row r="20" spans="1:9">
      <c r="A20">
        <f t="shared" si="3"/>
        <v>1</v>
      </c>
      <c r="B20">
        <v>40</v>
      </c>
      <c r="C20">
        <v>6</v>
      </c>
      <c r="D20">
        <v>55.814511000000003</v>
      </c>
      <c r="E20">
        <f t="shared" si="0"/>
        <v>55.724511</v>
      </c>
      <c r="F20">
        <f t="shared" si="4"/>
        <v>271.76286769590001</v>
      </c>
      <c r="G20" s="6">
        <f t="shared" si="1"/>
        <v>0.28308632051656252</v>
      </c>
      <c r="H20">
        <f t="shared" si="2"/>
        <v>27176.286769589999</v>
      </c>
    </row>
    <row r="21" spans="1:9">
      <c r="A21">
        <f t="shared" si="3"/>
        <v>1.2</v>
      </c>
      <c r="B21">
        <v>48</v>
      </c>
      <c r="C21">
        <v>7</v>
      </c>
      <c r="D21">
        <v>52.351945999999998</v>
      </c>
      <c r="E21">
        <f t="shared" si="0"/>
        <v>52.261945999999995</v>
      </c>
      <c r="F21">
        <f t="shared" si="4"/>
        <v>254.87628444739997</v>
      </c>
      <c r="G21" s="6">
        <f t="shared" si="1"/>
        <v>0.2654961296327083</v>
      </c>
      <c r="H21">
        <f t="shared" si="2"/>
        <v>25487.628444739996</v>
      </c>
    </row>
    <row r="22" spans="1:9">
      <c r="A22">
        <f t="shared" si="3"/>
        <v>1.4</v>
      </c>
      <c r="B22">
        <v>56</v>
      </c>
      <c r="C22">
        <v>8</v>
      </c>
      <c r="D22">
        <v>72.999765999999994</v>
      </c>
      <c r="E22">
        <f t="shared" si="0"/>
        <v>72.909765999999991</v>
      </c>
      <c r="F22">
        <f t="shared" si="4"/>
        <v>355.57363780539998</v>
      </c>
      <c r="G22" s="6">
        <f t="shared" si="1"/>
        <v>0.3703892060472917</v>
      </c>
      <c r="H22">
        <f t="shared" si="2"/>
        <v>35557.363780539999</v>
      </c>
    </row>
    <row r="23" spans="1:9">
      <c r="A23">
        <f t="shared" si="3"/>
        <v>1.6</v>
      </c>
      <c r="B23">
        <v>64</v>
      </c>
      <c r="C23">
        <v>9</v>
      </c>
      <c r="D23">
        <v>64.592877000000001</v>
      </c>
      <c r="E23">
        <f t="shared" si="0"/>
        <v>64.502876999999998</v>
      </c>
      <c r="F23">
        <f t="shared" si="4"/>
        <v>314.57408084129997</v>
      </c>
      <c r="G23" s="6">
        <f t="shared" si="1"/>
        <v>0.32768133420968748</v>
      </c>
      <c r="H23">
        <f t="shared" si="2"/>
        <v>31457.408084129998</v>
      </c>
    </row>
    <row r="24" spans="1:9">
      <c r="A24">
        <f t="shared" si="3"/>
        <v>1.8</v>
      </c>
      <c r="B24">
        <v>72</v>
      </c>
      <c r="C24">
        <v>10</v>
      </c>
      <c r="D24">
        <v>78.216382999999993</v>
      </c>
      <c r="E24">
        <f t="shared" si="0"/>
        <v>78.12638299999999</v>
      </c>
      <c r="F24">
        <f t="shared" si="4"/>
        <v>381.01455725269994</v>
      </c>
      <c r="G24" s="6">
        <f t="shared" si="1"/>
        <v>0.39689016380489578</v>
      </c>
      <c r="H24">
        <f t="shared" si="2"/>
        <v>38101.455725269996</v>
      </c>
    </row>
    <row r="25" spans="1:9">
      <c r="A25">
        <f t="shared" si="3"/>
        <v>2</v>
      </c>
      <c r="B25">
        <v>80</v>
      </c>
      <c r="C25">
        <v>11</v>
      </c>
      <c r="D25">
        <v>83.540195999999995</v>
      </c>
      <c r="E25">
        <f t="shared" si="0"/>
        <v>83.450195999999991</v>
      </c>
      <c r="F25">
        <f t="shared" si="4"/>
        <v>406.97826087239997</v>
      </c>
      <c r="G25" s="6">
        <f t="shared" si="1"/>
        <v>0.42393568840874996</v>
      </c>
      <c r="H25">
        <f t="shared" si="2"/>
        <v>40697.826087239999</v>
      </c>
    </row>
    <row r="26" spans="1:9">
      <c r="A26">
        <f t="shared" si="3"/>
        <v>2.2000000000000002</v>
      </c>
      <c r="B26">
        <v>88</v>
      </c>
      <c r="C26">
        <v>12</v>
      </c>
      <c r="D26">
        <v>77.794985999999994</v>
      </c>
      <c r="E26">
        <f t="shared" si="0"/>
        <v>77.704985999999991</v>
      </c>
      <c r="F26">
        <f t="shared" si="4"/>
        <v>378.95944622339994</v>
      </c>
      <c r="G26" s="6">
        <f t="shared" si="1"/>
        <v>0.39474942314937495</v>
      </c>
      <c r="H26">
        <f t="shared" si="2"/>
        <v>37895.944622339994</v>
      </c>
      <c r="I26" s="2"/>
    </row>
    <row r="27" spans="1:9">
      <c r="A27">
        <f t="shared" si="3"/>
        <v>2.4</v>
      </c>
      <c r="B27">
        <v>96</v>
      </c>
      <c r="C27">
        <v>13</v>
      </c>
      <c r="D27">
        <v>82.555179999999993</v>
      </c>
      <c r="E27">
        <f t="shared" si="0"/>
        <v>82.465179999999989</v>
      </c>
      <c r="F27">
        <f t="shared" si="4"/>
        <v>402.17443634199992</v>
      </c>
      <c r="G27" s="6">
        <f t="shared" si="1"/>
        <v>0.41893170452291656</v>
      </c>
      <c r="H27">
        <f t="shared" si="2"/>
        <v>40217.44363419999</v>
      </c>
      <c r="I27" s="2"/>
    </row>
    <row r="28" spans="1:9">
      <c r="A28">
        <f t="shared" si="3"/>
        <v>2.6</v>
      </c>
      <c r="B28">
        <v>104</v>
      </c>
      <c r="C28">
        <v>14</v>
      </c>
      <c r="D28">
        <v>85.101006999999996</v>
      </c>
      <c r="E28">
        <f t="shared" si="0"/>
        <v>85.011006999999992</v>
      </c>
      <c r="F28">
        <f t="shared" si="4"/>
        <v>414.59018003829999</v>
      </c>
      <c r="G28" s="6">
        <f t="shared" si="1"/>
        <v>0.43186477087322916</v>
      </c>
      <c r="H28">
        <f t="shared" si="2"/>
        <v>41459.018003829995</v>
      </c>
    </row>
    <row r="29" spans="1:9">
      <c r="A29">
        <f t="shared" si="3"/>
        <v>2.8</v>
      </c>
      <c r="B29">
        <v>112</v>
      </c>
      <c r="C29">
        <v>15</v>
      </c>
      <c r="D29">
        <v>85.511788999999993</v>
      </c>
      <c r="E29">
        <f t="shared" si="0"/>
        <v>85.42178899999999</v>
      </c>
      <c r="F29">
        <f t="shared" si="4"/>
        <v>416.59352277409994</v>
      </c>
      <c r="G29" s="6">
        <f t="shared" si="1"/>
        <v>0.43395158622302071</v>
      </c>
      <c r="H29">
        <f t="shared" si="2"/>
        <v>41659.352277409984</v>
      </c>
    </row>
    <row r="30" spans="1:9">
      <c r="A30">
        <f t="shared" si="3"/>
        <v>3</v>
      </c>
      <c r="B30">
        <v>120</v>
      </c>
      <c r="C30">
        <v>16</v>
      </c>
      <c r="D30">
        <v>93.682653000000002</v>
      </c>
      <c r="E30">
        <f t="shared" si="0"/>
        <v>93.592652999999999</v>
      </c>
      <c r="F30">
        <f t="shared" si="4"/>
        <v>456.4420094157</v>
      </c>
      <c r="G30" s="6">
        <f t="shared" si="1"/>
        <v>0.4754604264746875</v>
      </c>
      <c r="H30">
        <f t="shared" si="2"/>
        <v>45644.200941570001</v>
      </c>
    </row>
    <row r="31" spans="1:9">
      <c r="A31">
        <f t="shared" si="3"/>
        <v>3.2</v>
      </c>
      <c r="B31">
        <v>128</v>
      </c>
      <c r="C31">
        <v>17</v>
      </c>
      <c r="D31">
        <v>76.577918999999994</v>
      </c>
      <c r="E31">
        <f t="shared" si="0"/>
        <v>76.487918999999991</v>
      </c>
      <c r="F31">
        <f t="shared" si="4"/>
        <v>373.02393217109994</v>
      </c>
      <c r="G31" s="6">
        <f t="shared" si="1"/>
        <v>0.38856659601156246</v>
      </c>
      <c r="H31">
        <f t="shared" si="2"/>
        <v>37302.393217109995</v>
      </c>
    </row>
    <row r="32" spans="1:9">
      <c r="A32">
        <f t="shared" si="3"/>
        <v>3.4</v>
      </c>
      <c r="B32">
        <v>136</v>
      </c>
      <c r="C32">
        <v>18</v>
      </c>
      <c r="D32">
        <v>81.701078999999993</v>
      </c>
      <c r="E32">
        <f t="shared" si="0"/>
        <v>81.611078999999989</v>
      </c>
      <c r="F32">
        <f t="shared" si="4"/>
        <v>398.00907117509996</v>
      </c>
      <c r="G32" s="6">
        <f t="shared" si="1"/>
        <v>0.41459278247406245</v>
      </c>
      <c r="H32">
        <f t="shared" si="2"/>
        <v>39800.907117509996</v>
      </c>
    </row>
    <row r="33" spans="1:12">
      <c r="A33">
        <f t="shared" si="3"/>
        <v>3.6</v>
      </c>
      <c r="B33">
        <v>144</v>
      </c>
      <c r="C33">
        <v>19</v>
      </c>
      <c r="D33">
        <v>81.928672000000006</v>
      </c>
      <c r="E33">
        <f t="shared" si="0"/>
        <v>81.838672000000003</v>
      </c>
      <c r="F33">
        <f t="shared" si="4"/>
        <v>399.11901947680002</v>
      </c>
      <c r="G33" s="6">
        <f t="shared" si="1"/>
        <v>0.41574897862166671</v>
      </c>
      <c r="H33">
        <f t="shared" si="2"/>
        <v>39911.901947680009</v>
      </c>
    </row>
    <row r="34" spans="1:12">
      <c r="A34">
        <f t="shared" si="3"/>
        <v>3.8</v>
      </c>
      <c r="B34">
        <v>152</v>
      </c>
      <c r="C34">
        <v>20</v>
      </c>
      <c r="D34">
        <v>87.771220999999997</v>
      </c>
      <c r="E34">
        <f t="shared" si="0"/>
        <v>87.681220999999994</v>
      </c>
      <c r="F34">
        <f t="shared" si="4"/>
        <v>427.61254669489995</v>
      </c>
      <c r="G34" s="6">
        <f t="shared" si="1"/>
        <v>0.44542973614052078</v>
      </c>
      <c r="H34">
        <f t="shared" si="2"/>
        <v>42761.254669489994</v>
      </c>
    </row>
    <row r="35" spans="1:12">
      <c r="A35">
        <f t="shared" si="3"/>
        <v>4</v>
      </c>
      <c r="B35">
        <v>160</v>
      </c>
      <c r="C35">
        <v>21</v>
      </c>
      <c r="D35">
        <v>91.632638999999998</v>
      </c>
      <c r="E35">
        <f t="shared" si="0"/>
        <v>91.542638999999994</v>
      </c>
      <c r="F35">
        <f t="shared" si="4"/>
        <v>446.44429613909995</v>
      </c>
      <c r="G35" s="6">
        <f t="shared" si="1"/>
        <v>0.46504614181156245</v>
      </c>
      <c r="H35">
        <f t="shared" si="2"/>
        <v>44644.42961390999</v>
      </c>
    </row>
    <row r="36" spans="1:12">
      <c r="A36">
        <f t="shared" si="3"/>
        <v>4.2</v>
      </c>
      <c r="B36">
        <v>168</v>
      </c>
      <c r="C36">
        <v>22</v>
      </c>
      <c r="D36">
        <v>93.631364000000005</v>
      </c>
      <c r="E36">
        <f t="shared" si="0"/>
        <v>93.541364000000002</v>
      </c>
      <c r="F36">
        <f t="shared" si="4"/>
        <v>456.19187809160002</v>
      </c>
      <c r="G36" s="6">
        <f t="shared" si="1"/>
        <v>0.47519987301208333</v>
      </c>
      <c r="H36">
        <f t="shared" si="2"/>
        <v>45619.187809159994</v>
      </c>
      <c r="L36">
        <v>520</v>
      </c>
    </row>
    <row r="37" spans="1:12">
      <c r="A37">
        <f t="shared" si="3"/>
        <v>4.4000000000000004</v>
      </c>
      <c r="B37">
        <v>176</v>
      </c>
      <c r="C37">
        <v>23</v>
      </c>
      <c r="D37">
        <v>99.138499999999993</v>
      </c>
      <c r="E37">
        <f t="shared" si="0"/>
        <v>99.04849999999999</v>
      </c>
      <c r="F37">
        <f t="shared" si="4"/>
        <v>483.04962964999993</v>
      </c>
      <c r="G37" s="6">
        <f t="shared" si="1"/>
        <v>0.50317669755208327</v>
      </c>
      <c r="H37">
        <f t="shared" si="2"/>
        <v>48304.962964999992</v>
      </c>
    </row>
    <row r="38" spans="1:12">
      <c r="F38"/>
      <c r="G38" s="6"/>
    </row>
    <row r="39" spans="1:12">
      <c r="F39"/>
      <c r="G39" s="6"/>
    </row>
    <row r="40" spans="1:12">
      <c r="F40"/>
      <c r="G40" s="6"/>
    </row>
    <row r="41" spans="1:12">
      <c r="F41"/>
      <c r="G41" s="6"/>
    </row>
    <row r="42" spans="1:12">
      <c r="F42"/>
      <c r="G42" s="6"/>
    </row>
    <row r="43" spans="1:12">
      <c r="F43"/>
      <c r="G43" s="6"/>
    </row>
    <row r="44" spans="1:12">
      <c r="D44" t="s">
        <v>4</v>
      </c>
      <c r="G44" s="2"/>
    </row>
    <row r="45" spans="1:12">
      <c r="A45" t="s">
        <v>10</v>
      </c>
      <c r="B45" t="s">
        <v>18</v>
      </c>
      <c r="C45" t="s">
        <v>17</v>
      </c>
      <c r="D45" t="s">
        <v>0</v>
      </c>
      <c r="E45" t="s">
        <v>22</v>
      </c>
      <c r="F45" t="s">
        <v>3</v>
      </c>
      <c r="G45" s="6" t="s">
        <v>16</v>
      </c>
    </row>
    <row r="46" spans="1:12">
      <c r="A46">
        <f t="shared" ref="A46:A69" si="5">B46/40</f>
        <v>0</v>
      </c>
      <c r="B46">
        <v>0</v>
      </c>
      <c r="C46">
        <v>0</v>
      </c>
      <c r="D46">
        <v>0</v>
      </c>
      <c r="E46" s="1">
        <f t="shared" ref="E46:E69" si="6">D46-$I$2</f>
        <v>0</v>
      </c>
      <c r="F46">
        <f>2.9003*E46</f>
        <v>0</v>
      </c>
      <c r="G46" s="6">
        <f t="shared" ref="G46:G69" si="7">F46*100/35.5/1000</f>
        <v>0</v>
      </c>
      <c r="H46">
        <f>G46*35.5*1000</f>
        <v>0</v>
      </c>
    </row>
    <row r="47" spans="1:12">
      <c r="A47">
        <f t="shared" si="5"/>
        <v>0</v>
      </c>
      <c r="B47">
        <v>0</v>
      </c>
      <c r="C47">
        <v>1</v>
      </c>
      <c r="D47">
        <v>52.239043000000002</v>
      </c>
      <c r="E47">
        <f t="shared" si="6"/>
        <v>52.239043000000002</v>
      </c>
      <c r="F47">
        <f t="shared" ref="F47:F69" si="8">2.9003*E47</f>
        <v>151.50889641290001</v>
      </c>
      <c r="G47" s="6">
        <f t="shared" si="7"/>
        <v>0.42678562369830991</v>
      </c>
      <c r="H47">
        <f t="shared" ref="H47:H66" si="9">G47*35.5*1000</f>
        <v>15150.889641290001</v>
      </c>
    </row>
    <row r="48" spans="1:12">
      <c r="A48">
        <f t="shared" si="5"/>
        <v>0.2</v>
      </c>
      <c r="B48">
        <v>8</v>
      </c>
      <c r="C48">
        <v>2</v>
      </c>
      <c r="D48">
        <v>61.894331000000001</v>
      </c>
      <c r="E48">
        <f t="shared" si="6"/>
        <v>61.894331000000001</v>
      </c>
      <c r="F48">
        <f t="shared" si="8"/>
        <v>179.51212819930001</v>
      </c>
      <c r="G48" s="6">
        <f t="shared" si="7"/>
        <v>0.5056679667585916</v>
      </c>
      <c r="H48">
        <f t="shared" si="9"/>
        <v>17951.212819930002</v>
      </c>
    </row>
    <row r="49" spans="1:8">
      <c r="A49">
        <f t="shared" si="5"/>
        <v>0.4</v>
      </c>
      <c r="B49">
        <v>16</v>
      </c>
      <c r="C49">
        <v>3</v>
      </c>
      <c r="D49">
        <v>43.069065999999999</v>
      </c>
      <c r="E49">
        <f t="shared" si="6"/>
        <v>43.069065999999999</v>
      </c>
      <c r="F49">
        <f t="shared" si="8"/>
        <v>124.91321211980001</v>
      </c>
      <c r="G49" s="6">
        <f t="shared" si="7"/>
        <v>0.35186820315436618</v>
      </c>
      <c r="H49">
        <f t="shared" si="9"/>
        <v>12491.321211979999</v>
      </c>
    </row>
    <row r="50" spans="1:8">
      <c r="A50">
        <f t="shared" si="5"/>
        <v>0.6</v>
      </c>
      <c r="B50">
        <v>24</v>
      </c>
      <c r="C50">
        <v>4</v>
      </c>
      <c r="D50">
        <v>52.969161999999997</v>
      </c>
      <c r="E50">
        <f t="shared" si="6"/>
        <v>52.969161999999997</v>
      </c>
      <c r="F50">
        <f t="shared" si="8"/>
        <v>153.62646054859999</v>
      </c>
      <c r="G50" s="6">
        <f t="shared" si="7"/>
        <v>0.43275059309464786</v>
      </c>
      <c r="H50">
        <f t="shared" si="9"/>
        <v>15362.646054859999</v>
      </c>
    </row>
    <row r="51" spans="1:8">
      <c r="A51">
        <f t="shared" si="5"/>
        <v>0.8</v>
      </c>
      <c r="B51">
        <v>32</v>
      </c>
      <c r="C51">
        <v>5</v>
      </c>
      <c r="D51">
        <v>44.757632000000001</v>
      </c>
      <c r="E51">
        <f t="shared" si="6"/>
        <v>44.757632000000001</v>
      </c>
      <c r="F51">
        <f t="shared" si="8"/>
        <v>129.81056008960002</v>
      </c>
      <c r="G51" s="6">
        <f t="shared" si="7"/>
        <v>0.3656635495481691</v>
      </c>
      <c r="H51">
        <f t="shared" si="9"/>
        <v>12981.056008960004</v>
      </c>
    </row>
    <row r="52" spans="1:8">
      <c r="A52">
        <f t="shared" si="5"/>
        <v>1</v>
      </c>
      <c r="B52">
        <v>40</v>
      </c>
      <c r="C52">
        <v>6</v>
      </c>
      <c r="D52">
        <v>40.276102999999999</v>
      </c>
      <c r="E52">
        <f t="shared" si="6"/>
        <v>40.276102999999999</v>
      </c>
      <c r="F52">
        <f t="shared" si="8"/>
        <v>116.8127815309</v>
      </c>
      <c r="G52" s="6">
        <f t="shared" si="7"/>
        <v>0.32905008881943659</v>
      </c>
      <c r="H52">
        <f t="shared" si="9"/>
        <v>11681.278153089997</v>
      </c>
    </row>
    <row r="53" spans="1:8">
      <c r="A53">
        <f t="shared" si="5"/>
        <v>1.2</v>
      </c>
      <c r="B53">
        <v>48</v>
      </c>
      <c r="C53">
        <v>7</v>
      </c>
      <c r="D53">
        <v>32.218364000000001</v>
      </c>
      <c r="E53">
        <f t="shared" si="6"/>
        <v>32.218364000000001</v>
      </c>
      <c r="F53">
        <f t="shared" si="8"/>
        <v>93.4429211092</v>
      </c>
      <c r="G53" s="6">
        <f t="shared" si="7"/>
        <v>0.26321949608225348</v>
      </c>
      <c r="H53">
        <f t="shared" si="9"/>
        <v>9344.2921109199979</v>
      </c>
    </row>
    <row r="54" spans="1:8">
      <c r="A54">
        <f t="shared" si="5"/>
        <v>1.4</v>
      </c>
      <c r="B54">
        <v>56</v>
      </c>
      <c r="C54">
        <v>8</v>
      </c>
      <c r="D54">
        <v>39.250221000000003</v>
      </c>
      <c r="E54">
        <f t="shared" si="6"/>
        <v>39.250221000000003</v>
      </c>
      <c r="F54">
        <f t="shared" si="8"/>
        <v>113.83741596630001</v>
      </c>
      <c r="G54" s="6">
        <f t="shared" si="7"/>
        <v>0.32066877736985916</v>
      </c>
      <c r="H54">
        <f t="shared" si="9"/>
        <v>11383.74159663</v>
      </c>
    </row>
    <row r="55" spans="1:8">
      <c r="A55">
        <f t="shared" si="5"/>
        <v>1.6</v>
      </c>
      <c r="B55">
        <v>64</v>
      </c>
      <c r="C55">
        <v>9</v>
      </c>
      <c r="D55">
        <v>30.288114</v>
      </c>
      <c r="E55">
        <f t="shared" si="6"/>
        <v>30.288114</v>
      </c>
      <c r="F55">
        <f t="shared" si="8"/>
        <v>87.844617034199999</v>
      </c>
      <c r="G55" s="6">
        <f t="shared" si="7"/>
        <v>0.24744962544845073</v>
      </c>
      <c r="H55">
        <f t="shared" si="9"/>
        <v>8784.4617034200019</v>
      </c>
    </row>
    <row r="56" spans="1:8">
      <c r="A56">
        <f t="shared" si="5"/>
        <v>1.8</v>
      </c>
      <c r="B56">
        <v>72</v>
      </c>
      <c r="C56">
        <v>10</v>
      </c>
      <c r="D56">
        <v>32.806814000000003</v>
      </c>
      <c r="E56">
        <f t="shared" si="6"/>
        <v>32.806814000000003</v>
      </c>
      <c r="F56">
        <f t="shared" si="8"/>
        <v>95.149602644200016</v>
      </c>
      <c r="G56" s="6">
        <f t="shared" si="7"/>
        <v>0.26802704970197194</v>
      </c>
      <c r="H56">
        <f t="shared" si="9"/>
        <v>9514.960264420004</v>
      </c>
    </row>
    <row r="57" spans="1:8">
      <c r="A57">
        <f t="shared" si="5"/>
        <v>2</v>
      </c>
      <c r="B57">
        <v>80</v>
      </c>
      <c r="C57">
        <v>11</v>
      </c>
      <c r="D57">
        <v>31.320171999999999</v>
      </c>
      <c r="E57">
        <f t="shared" si="6"/>
        <v>31.320171999999999</v>
      </c>
      <c r="F57">
        <f t="shared" si="8"/>
        <v>90.837894851599998</v>
      </c>
      <c r="G57" s="6">
        <f t="shared" si="7"/>
        <v>0.255881393948169</v>
      </c>
      <c r="H57">
        <f t="shared" si="9"/>
        <v>9083.7894851599995</v>
      </c>
    </row>
    <row r="58" spans="1:8">
      <c r="A58">
        <f t="shared" si="5"/>
        <v>2.2000000000000002</v>
      </c>
      <c r="B58">
        <v>88</v>
      </c>
      <c r="C58">
        <v>12</v>
      </c>
      <c r="D58">
        <v>26.321746000000001</v>
      </c>
      <c r="E58">
        <f t="shared" si="6"/>
        <v>26.321746000000001</v>
      </c>
      <c r="F58">
        <f t="shared" si="8"/>
        <v>76.3409599238</v>
      </c>
      <c r="G58" s="6">
        <f t="shared" si="7"/>
        <v>0.21504495753183098</v>
      </c>
      <c r="H58">
        <f t="shared" si="9"/>
        <v>7634.0959923800001</v>
      </c>
    </row>
    <row r="59" spans="1:8">
      <c r="A59">
        <f t="shared" si="5"/>
        <v>2.4</v>
      </c>
      <c r="B59">
        <v>96</v>
      </c>
      <c r="C59">
        <v>13</v>
      </c>
      <c r="D59">
        <v>24.966114999999999</v>
      </c>
      <c r="E59">
        <f t="shared" si="6"/>
        <v>24.966114999999999</v>
      </c>
      <c r="F59">
        <f t="shared" si="8"/>
        <v>72.409223334499998</v>
      </c>
      <c r="G59" s="6">
        <f t="shared" si="7"/>
        <v>0.20396964319577465</v>
      </c>
      <c r="H59">
        <f t="shared" si="9"/>
        <v>7240.9223334500002</v>
      </c>
    </row>
    <row r="60" spans="1:8">
      <c r="A60">
        <f t="shared" si="5"/>
        <v>2.6</v>
      </c>
      <c r="B60">
        <v>104</v>
      </c>
      <c r="C60">
        <v>14</v>
      </c>
      <c r="D60">
        <v>23.490760000000002</v>
      </c>
      <c r="E60">
        <f t="shared" si="6"/>
        <v>23.490760000000002</v>
      </c>
      <c r="F60">
        <f t="shared" si="8"/>
        <v>68.130251228000006</v>
      </c>
      <c r="G60" s="6">
        <f t="shared" si="7"/>
        <v>0.19191620064225354</v>
      </c>
      <c r="H60">
        <f t="shared" si="9"/>
        <v>6813.0251228000006</v>
      </c>
    </row>
    <row r="61" spans="1:8">
      <c r="A61">
        <f t="shared" si="5"/>
        <v>2.8</v>
      </c>
      <c r="B61">
        <v>112</v>
      </c>
      <c r="C61">
        <v>15</v>
      </c>
      <c r="D61">
        <v>21.424085000000002</v>
      </c>
      <c r="E61">
        <f t="shared" si="6"/>
        <v>21.424085000000002</v>
      </c>
      <c r="F61">
        <f t="shared" si="8"/>
        <v>62.136273725500004</v>
      </c>
      <c r="G61" s="6">
        <f t="shared" si="7"/>
        <v>0.17503175697323944</v>
      </c>
      <c r="H61">
        <f t="shared" si="9"/>
        <v>6213.6273725500005</v>
      </c>
    </row>
    <row r="62" spans="1:8">
      <c r="A62">
        <f t="shared" si="5"/>
        <v>3</v>
      </c>
      <c r="B62">
        <v>120</v>
      </c>
      <c r="C62">
        <v>16</v>
      </c>
      <c r="D62">
        <v>21.399940000000001</v>
      </c>
      <c r="E62">
        <f t="shared" si="6"/>
        <v>21.399940000000001</v>
      </c>
      <c r="F62">
        <f t="shared" si="8"/>
        <v>62.066245982000005</v>
      </c>
      <c r="G62" s="6">
        <f t="shared" si="7"/>
        <v>0.17483449572394369</v>
      </c>
      <c r="H62">
        <f t="shared" si="9"/>
        <v>6206.6245982000009</v>
      </c>
    </row>
    <row r="63" spans="1:8">
      <c r="A63">
        <f t="shared" si="5"/>
        <v>3.2</v>
      </c>
      <c r="B63">
        <v>128</v>
      </c>
      <c r="C63">
        <v>17</v>
      </c>
      <c r="D63">
        <v>15.760286000000001</v>
      </c>
      <c r="E63">
        <f t="shared" si="6"/>
        <v>15.760286000000001</v>
      </c>
      <c r="F63">
        <f t="shared" si="8"/>
        <v>45.709557485800005</v>
      </c>
      <c r="G63" s="6">
        <f t="shared" si="7"/>
        <v>0.12875931686140848</v>
      </c>
      <c r="H63">
        <f t="shared" si="9"/>
        <v>4570.9557485800015</v>
      </c>
    </row>
    <row r="64" spans="1:8">
      <c r="A64">
        <f t="shared" si="5"/>
        <v>3.4</v>
      </c>
      <c r="B64">
        <v>136</v>
      </c>
      <c r="C64">
        <v>18</v>
      </c>
      <c r="D64">
        <v>15.468856000000001</v>
      </c>
      <c r="E64">
        <f t="shared" si="6"/>
        <v>15.468856000000001</v>
      </c>
      <c r="F64">
        <f t="shared" si="8"/>
        <v>44.864323056800004</v>
      </c>
      <c r="G64" s="6">
        <f t="shared" si="7"/>
        <v>0.12637837480788733</v>
      </c>
      <c r="H64">
        <f t="shared" si="9"/>
        <v>4486.4323056800004</v>
      </c>
    </row>
    <row r="65" spans="1:8">
      <c r="A65">
        <f t="shared" si="5"/>
        <v>3.6</v>
      </c>
      <c r="B65">
        <v>144</v>
      </c>
      <c r="C65">
        <v>19</v>
      </c>
      <c r="D65">
        <v>14.103935999999999</v>
      </c>
      <c r="E65">
        <f t="shared" si="6"/>
        <v>14.103935999999999</v>
      </c>
      <c r="F65">
        <f t="shared" si="8"/>
        <v>40.905645580799998</v>
      </c>
      <c r="G65" s="6">
        <f t="shared" si="7"/>
        <v>0.11522717065014083</v>
      </c>
      <c r="H65">
        <f t="shared" si="9"/>
        <v>4090.5645580799996</v>
      </c>
    </row>
    <row r="66" spans="1:8">
      <c r="A66">
        <f t="shared" si="5"/>
        <v>3.8</v>
      </c>
      <c r="B66">
        <v>152</v>
      </c>
      <c r="C66">
        <v>20</v>
      </c>
      <c r="D66">
        <v>13.970143999999999</v>
      </c>
      <c r="E66">
        <f t="shared" si="6"/>
        <v>13.970143999999999</v>
      </c>
      <c r="F66">
        <f t="shared" si="8"/>
        <v>40.517608643199999</v>
      </c>
      <c r="G66" s="6">
        <f t="shared" si="7"/>
        <v>0.11413410885408451</v>
      </c>
      <c r="H66">
        <f t="shared" si="9"/>
        <v>4051.7608643200001</v>
      </c>
    </row>
    <row r="67" spans="1:8">
      <c r="A67">
        <f t="shared" si="5"/>
        <v>4</v>
      </c>
      <c r="B67">
        <v>160</v>
      </c>
      <c r="C67">
        <v>21</v>
      </c>
      <c r="D67">
        <v>14.416048999999999</v>
      </c>
      <c r="E67">
        <f t="shared" si="6"/>
        <v>14.416048999999999</v>
      </c>
      <c r="F67">
        <f t="shared" si="8"/>
        <v>41.8108669147</v>
      </c>
      <c r="G67" s="6">
        <f t="shared" si="7"/>
        <v>0.11777708990056338</v>
      </c>
      <c r="H67">
        <f>G67*35.5*1000</f>
        <v>4181.08669147</v>
      </c>
    </row>
    <row r="68" spans="1:8">
      <c r="A68">
        <f t="shared" si="5"/>
        <v>4.2</v>
      </c>
      <c r="B68">
        <v>168</v>
      </c>
      <c r="C68">
        <v>22</v>
      </c>
      <c r="D68">
        <v>13.604011</v>
      </c>
      <c r="E68">
        <f t="shared" si="6"/>
        <v>13.604011</v>
      </c>
      <c r="F68">
        <f t="shared" si="8"/>
        <v>39.455713103299999</v>
      </c>
      <c r="G68" s="6">
        <f t="shared" si="7"/>
        <v>0.11114285381211268</v>
      </c>
      <c r="H68">
        <f>G68*35.5*1000</f>
        <v>3945.57131033</v>
      </c>
    </row>
    <row r="69" spans="1:8">
      <c r="A69">
        <f t="shared" si="5"/>
        <v>4.4000000000000004</v>
      </c>
      <c r="B69">
        <v>176</v>
      </c>
      <c r="C69">
        <v>23</v>
      </c>
      <c r="D69">
        <v>13.279605999999999</v>
      </c>
      <c r="E69">
        <f t="shared" si="6"/>
        <v>13.279605999999999</v>
      </c>
      <c r="F69">
        <f t="shared" si="8"/>
        <v>38.514841281800003</v>
      </c>
      <c r="G69" s="6">
        <f t="shared" si="7"/>
        <v>0.10849251065295776</v>
      </c>
      <c r="H69">
        <f>G69*35.5*1000</f>
        <v>3851.4841281800004</v>
      </c>
    </row>
    <row r="88" spans="6:7">
      <c r="F88"/>
      <c r="G88" s="6"/>
    </row>
    <row r="89" spans="6:7">
      <c r="F89"/>
      <c r="G89" s="6"/>
    </row>
    <row r="90" spans="6:7">
      <c r="F90"/>
      <c r="G90" s="6"/>
    </row>
    <row r="91" spans="6:7">
      <c r="F91"/>
      <c r="G91" s="6"/>
    </row>
    <row r="92" spans="6:7">
      <c r="F92"/>
      <c r="G92" s="6"/>
    </row>
    <row r="93" spans="6:7">
      <c r="F93"/>
      <c r="G93" s="6"/>
    </row>
    <row r="94" spans="6:7">
      <c r="F94"/>
      <c r="G94" s="6"/>
    </row>
    <row r="95" spans="6:7">
      <c r="F95"/>
      <c r="G95" s="6"/>
    </row>
    <row r="96" spans="6:7">
      <c r="F96"/>
      <c r="G96" s="6"/>
    </row>
    <row r="97" spans="6:7">
      <c r="F97"/>
      <c r="G97" s="6"/>
    </row>
    <row r="98" spans="6:7">
      <c r="F98"/>
      <c r="G98" s="6"/>
    </row>
    <row r="99" spans="6:7">
      <c r="F99"/>
      <c r="G99" s="6"/>
    </row>
    <row r="100" spans="6:7">
      <c r="F100"/>
      <c r="G100" s="6"/>
    </row>
    <row r="101" spans="6:7">
      <c r="F101"/>
      <c r="G101" s="6"/>
    </row>
    <row r="102" spans="6:7">
      <c r="F102"/>
      <c r="G102" s="6"/>
    </row>
    <row r="103" spans="6:7">
      <c r="F103"/>
      <c r="G103" s="6"/>
    </row>
    <row r="104" spans="6:7">
      <c r="F104"/>
      <c r="G104" s="6"/>
    </row>
    <row r="105" spans="6:7">
      <c r="F105"/>
      <c r="G105" s="6"/>
    </row>
    <row r="106" spans="6:7">
      <c r="F106"/>
      <c r="G106" s="6"/>
    </row>
    <row r="107" spans="6:7">
      <c r="F107"/>
      <c r="G107" s="6"/>
    </row>
    <row r="108" spans="6:7">
      <c r="F108"/>
      <c r="G108" s="6"/>
    </row>
    <row r="109" spans="6:7">
      <c r="F109"/>
      <c r="G109" s="6"/>
    </row>
    <row r="110" spans="6:7">
      <c r="F110"/>
      <c r="G110" s="6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B46CB-61B8-4FB9-9A11-7712A8C81E40}">
  <dimension ref="A1:J66"/>
  <sheetViews>
    <sheetView topLeftCell="A10" workbookViewId="0">
      <selection activeCell="J43" sqref="J43"/>
    </sheetView>
  </sheetViews>
  <sheetFormatPr defaultRowHeight="14.5"/>
  <cols>
    <col min="4" max="4" width="18.90625" customWidth="1"/>
    <col min="5" max="5" width="15.7265625" customWidth="1"/>
    <col min="6" max="6" width="17.36328125" style="6" customWidth="1"/>
    <col min="7" max="7" width="15.54296875" customWidth="1"/>
    <col min="8" max="8" width="9.81640625" customWidth="1"/>
    <col min="9" max="9" width="17.453125" customWidth="1"/>
    <col min="12" max="12" width="15.453125" customWidth="1"/>
  </cols>
  <sheetData>
    <row r="1" spans="1:10">
      <c r="A1" t="s">
        <v>37</v>
      </c>
    </row>
    <row r="2" spans="1:10">
      <c r="A2" t="s">
        <v>30</v>
      </c>
      <c r="B2" t="s">
        <v>0</v>
      </c>
      <c r="C2" t="s">
        <v>1</v>
      </c>
      <c r="D2" s="6"/>
      <c r="E2" t="s">
        <v>38</v>
      </c>
      <c r="F2" t="s">
        <v>0</v>
      </c>
      <c r="G2" t="s">
        <v>1</v>
      </c>
    </row>
    <row r="3" spans="1:10">
      <c r="B3" s="4">
        <v>0</v>
      </c>
      <c r="C3">
        <v>0</v>
      </c>
      <c r="D3" s="6"/>
      <c r="F3" s="4">
        <v>0</v>
      </c>
      <c r="G3">
        <v>0</v>
      </c>
    </row>
    <row r="4" spans="1:10">
      <c r="B4" s="4">
        <v>1.8458000000000001</v>
      </c>
      <c r="C4">
        <v>5</v>
      </c>
      <c r="D4" s="6"/>
      <c r="F4" s="4">
        <v>6.4912000000000001</v>
      </c>
      <c r="G4">
        <v>5</v>
      </c>
    </row>
    <row r="5" spans="1:10">
      <c r="B5" s="4">
        <v>3.5047999999999999</v>
      </c>
      <c r="C5">
        <v>10</v>
      </c>
      <c r="D5" s="6"/>
      <c r="F5" s="4">
        <v>16.784300000000002</v>
      </c>
      <c r="G5">
        <v>10</v>
      </c>
    </row>
    <row r="6" spans="1:10">
      <c r="B6" s="4">
        <v>8.9468999999999994</v>
      </c>
      <c r="C6">
        <v>25</v>
      </c>
      <c r="D6" s="6"/>
      <c r="F6" s="4">
        <v>30.154599999999999</v>
      </c>
      <c r="G6">
        <v>25</v>
      </c>
    </row>
    <row r="7" spans="1:10">
      <c r="B7" s="4">
        <v>19.045400000000001</v>
      </c>
      <c r="C7">
        <v>50</v>
      </c>
      <c r="D7" s="6"/>
      <c r="F7" s="4">
        <v>58.863100000000003</v>
      </c>
      <c r="G7">
        <v>50</v>
      </c>
    </row>
    <row r="8" spans="1:10">
      <c r="B8" s="3">
        <v>37.620800000000003</v>
      </c>
      <c r="C8">
        <v>100</v>
      </c>
      <c r="D8" s="6"/>
      <c r="F8" s="3">
        <v>164.82939999999999</v>
      </c>
      <c r="G8">
        <v>100</v>
      </c>
    </row>
    <row r="12" spans="1:10">
      <c r="A12" t="s">
        <v>30</v>
      </c>
    </row>
    <row r="13" spans="1:10">
      <c r="A13" t="s">
        <v>10</v>
      </c>
      <c r="B13" t="s">
        <v>18</v>
      </c>
      <c r="C13" t="s">
        <v>17</v>
      </c>
      <c r="D13" t="s">
        <v>0</v>
      </c>
      <c r="E13" t="s">
        <v>22</v>
      </c>
      <c r="F13" t="s">
        <v>3</v>
      </c>
      <c r="G13" s="6" t="s">
        <v>16</v>
      </c>
      <c r="H13" s="1" t="s">
        <v>13</v>
      </c>
      <c r="J13" s="2"/>
    </row>
    <row r="14" spans="1:10">
      <c r="A14">
        <f>B14/40</f>
        <v>0</v>
      </c>
      <c r="B14">
        <v>0</v>
      </c>
      <c r="C14">
        <v>0</v>
      </c>
      <c r="D14">
        <v>0</v>
      </c>
      <c r="E14">
        <f t="shared" ref="E14:E22" si="0">D14-$H$2</f>
        <v>0</v>
      </c>
      <c r="F14">
        <f>2.7968*E14</f>
        <v>0</v>
      </c>
      <c r="G14" s="6">
        <f>F14*100/18/1000</f>
        <v>0</v>
      </c>
      <c r="H14">
        <f>G14*18*1000</f>
        <v>0</v>
      </c>
    </row>
    <row r="15" spans="1:10">
      <c r="A15">
        <f>B15/100</f>
        <v>40</v>
      </c>
      <c r="B15">
        <v>4000</v>
      </c>
      <c r="C15">
        <v>1</v>
      </c>
      <c r="D15">
        <v>5.6548999999999996</v>
      </c>
      <c r="E15">
        <f t="shared" si="0"/>
        <v>5.6548999999999996</v>
      </c>
      <c r="F15">
        <f>2.6589*E15</f>
        <v>15.03581361</v>
      </c>
      <c r="G15" s="6">
        <f>F15*100/18/1000</f>
        <v>8.3532297833333324E-2</v>
      </c>
      <c r="H15">
        <f>G15*18*1000</f>
        <v>1503.5813609999998</v>
      </c>
    </row>
    <row r="16" spans="1:10">
      <c r="A16">
        <f t="shared" ref="A16" si="1">B16/40</f>
        <v>200</v>
      </c>
      <c r="B16">
        <v>8000</v>
      </c>
      <c r="C16">
        <v>2</v>
      </c>
      <c r="D16">
        <v>4.7530000000000001</v>
      </c>
      <c r="E16">
        <f t="shared" si="0"/>
        <v>4.7530000000000001</v>
      </c>
      <c r="F16">
        <f t="shared" ref="F16:F22" si="2">2.6589*E16</f>
        <v>12.637751700000001</v>
      </c>
      <c r="G16" s="6">
        <f t="shared" ref="G16:G22" si="3">F16*100/18/1000</f>
        <v>7.0209731666666664E-2</v>
      </c>
      <c r="H16">
        <f t="shared" ref="H16:H22" si="4">G16*18*1000</f>
        <v>1263.7751699999999</v>
      </c>
    </row>
    <row r="17" spans="1:9">
      <c r="A17">
        <f t="shared" ref="A17" si="5">B17/100</f>
        <v>120</v>
      </c>
      <c r="B17">
        <v>12000</v>
      </c>
      <c r="C17">
        <v>3</v>
      </c>
      <c r="D17">
        <v>2.8950999999999998</v>
      </c>
      <c r="E17">
        <f t="shared" si="0"/>
        <v>2.8950999999999998</v>
      </c>
      <c r="F17">
        <f t="shared" si="2"/>
        <v>7.6977813899999994</v>
      </c>
      <c r="G17" s="6">
        <f t="shared" si="3"/>
        <v>4.2765452166666662E-2</v>
      </c>
      <c r="H17">
        <f t="shared" si="4"/>
        <v>769.7781389999999</v>
      </c>
    </row>
    <row r="18" spans="1:9">
      <c r="A18">
        <f t="shared" ref="A18" si="6">B18/40</f>
        <v>400</v>
      </c>
      <c r="B18">
        <v>16000</v>
      </c>
      <c r="C18">
        <v>4</v>
      </c>
      <c r="D18">
        <v>1.881</v>
      </c>
      <c r="E18">
        <f t="shared" si="0"/>
        <v>1.881</v>
      </c>
      <c r="F18">
        <f t="shared" si="2"/>
        <v>5.0013909000000005</v>
      </c>
      <c r="G18" s="6">
        <f t="shared" si="3"/>
        <v>2.7785505000000005E-2</v>
      </c>
      <c r="H18">
        <f t="shared" si="4"/>
        <v>500.13909000000012</v>
      </c>
    </row>
    <row r="19" spans="1:9">
      <c r="A19">
        <f t="shared" ref="A19" si="7">B19/100</f>
        <v>200</v>
      </c>
      <c r="B19">
        <v>20000</v>
      </c>
      <c r="C19">
        <v>5</v>
      </c>
      <c r="D19">
        <v>1.1711</v>
      </c>
      <c r="E19">
        <f t="shared" si="0"/>
        <v>1.1711</v>
      </c>
      <c r="F19">
        <f t="shared" si="2"/>
        <v>3.1138377900000003</v>
      </c>
      <c r="G19" s="6">
        <f t="shared" si="3"/>
        <v>1.7299098833333332E-2</v>
      </c>
      <c r="H19">
        <f t="shared" si="4"/>
        <v>311.38377899999995</v>
      </c>
    </row>
    <row r="20" spans="1:9">
      <c r="A20">
        <f t="shared" ref="A20" si="8">B20/40</f>
        <v>600</v>
      </c>
      <c r="B20">
        <v>24000</v>
      </c>
      <c r="C20">
        <v>6</v>
      </c>
      <c r="D20">
        <v>0.64510000000000001</v>
      </c>
      <c r="E20">
        <f t="shared" si="0"/>
        <v>0.64510000000000001</v>
      </c>
      <c r="F20">
        <f t="shared" si="2"/>
        <v>1.71525639</v>
      </c>
      <c r="G20" s="6">
        <f t="shared" si="3"/>
        <v>9.5292021666666653E-3</v>
      </c>
      <c r="H20">
        <f t="shared" si="4"/>
        <v>171.52563899999998</v>
      </c>
    </row>
    <row r="21" spans="1:9">
      <c r="A21">
        <f t="shared" ref="A21" si="9">B21/100</f>
        <v>280</v>
      </c>
      <c r="B21">
        <v>28000</v>
      </c>
      <c r="C21">
        <v>7</v>
      </c>
      <c r="D21">
        <v>0.3377</v>
      </c>
      <c r="E21">
        <f t="shared" si="0"/>
        <v>0.3377</v>
      </c>
      <c r="F21">
        <f t="shared" si="2"/>
        <v>0.89791052999999998</v>
      </c>
      <c r="G21" s="6">
        <f t="shared" si="3"/>
        <v>4.9883918333333338E-3</v>
      </c>
      <c r="H21">
        <f t="shared" si="4"/>
        <v>89.791053000000005</v>
      </c>
    </row>
    <row r="22" spans="1:9">
      <c r="A22">
        <f t="shared" ref="A22" si="10">B22/40</f>
        <v>800</v>
      </c>
      <c r="B22">
        <v>32000</v>
      </c>
      <c r="C22">
        <v>8</v>
      </c>
      <c r="D22">
        <v>0.307</v>
      </c>
      <c r="E22">
        <f t="shared" si="0"/>
        <v>0.307</v>
      </c>
      <c r="F22">
        <f t="shared" si="2"/>
        <v>0.81628230000000002</v>
      </c>
      <c r="G22" s="6">
        <f t="shared" si="3"/>
        <v>4.5349016666666664E-3</v>
      </c>
      <c r="H22">
        <f t="shared" si="4"/>
        <v>81.628230000000002</v>
      </c>
    </row>
    <row r="23" spans="1:9">
      <c r="F23"/>
      <c r="G23" s="6"/>
    </row>
    <row r="24" spans="1:9">
      <c r="F24"/>
      <c r="G24" s="6"/>
    </row>
    <row r="25" spans="1:9">
      <c r="A25" t="s">
        <v>38</v>
      </c>
    </row>
    <row r="26" spans="1:9">
      <c r="A26" t="s">
        <v>10</v>
      </c>
      <c r="B26" t="s">
        <v>18</v>
      </c>
      <c r="C26" t="s">
        <v>17</v>
      </c>
      <c r="D26" t="s">
        <v>0</v>
      </c>
      <c r="E26" t="s">
        <v>22</v>
      </c>
      <c r="F26" t="s">
        <v>3</v>
      </c>
      <c r="G26" s="6" t="s">
        <v>16</v>
      </c>
      <c r="H26" s="1" t="s">
        <v>13</v>
      </c>
      <c r="I26" s="2"/>
    </row>
    <row r="27" spans="1:9">
      <c r="A27">
        <f>B27/40</f>
        <v>0</v>
      </c>
      <c r="B27">
        <v>0</v>
      </c>
      <c r="C27">
        <v>0</v>
      </c>
      <c r="D27">
        <v>7.8461999999999996</v>
      </c>
      <c r="E27">
        <f t="shared" ref="E27:E35" si="11">D27-$H$2</f>
        <v>7.8461999999999996</v>
      </c>
      <c r="F27">
        <f>0.6395*E27</f>
        <v>5.0176448999999996</v>
      </c>
      <c r="G27" s="6">
        <f>F27*100/6.941/1000</f>
        <v>7.2289942371416213E-2</v>
      </c>
      <c r="H27">
        <f>G27*18*1000</f>
        <v>1301.2189626854918</v>
      </c>
      <c r="I27" s="2"/>
    </row>
    <row r="28" spans="1:9">
      <c r="A28">
        <f>B28/100</f>
        <v>40</v>
      </c>
      <c r="B28">
        <v>4000</v>
      </c>
      <c r="C28">
        <v>1</v>
      </c>
      <c r="D28">
        <v>0.24579999999999999</v>
      </c>
      <c r="E28">
        <f t="shared" si="11"/>
        <v>0.24579999999999999</v>
      </c>
      <c r="F28">
        <f t="shared" ref="F28:F35" si="12">0.6395*E28</f>
        <v>0.15718909999999997</v>
      </c>
      <c r="G28" s="6">
        <f t="shared" ref="G28:G35" si="13">F28*100/6.941/1000</f>
        <v>2.2646463045670646E-3</v>
      </c>
      <c r="H28">
        <f>G28*18*1000</f>
        <v>40.763633482207162</v>
      </c>
    </row>
    <row r="29" spans="1:9">
      <c r="A29">
        <f t="shared" ref="A29" si="14">B29/40</f>
        <v>200</v>
      </c>
      <c r="B29">
        <v>8000</v>
      </c>
      <c r="C29">
        <v>2</v>
      </c>
      <c r="D29">
        <v>1.696</v>
      </c>
      <c r="E29">
        <f t="shared" si="11"/>
        <v>1.696</v>
      </c>
      <c r="F29">
        <f t="shared" si="12"/>
        <v>1.084592</v>
      </c>
      <c r="G29" s="6">
        <f t="shared" si="13"/>
        <v>1.562587523411612E-2</v>
      </c>
      <c r="H29">
        <f t="shared" ref="H29:H35" si="15">G29*18*1000</f>
        <v>281.26575421409018</v>
      </c>
    </row>
    <row r="30" spans="1:9">
      <c r="A30">
        <f t="shared" ref="A30" si="16">B30/100</f>
        <v>120</v>
      </c>
      <c r="B30">
        <v>12000</v>
      </c>
      <c r="C30">
        <v>3</v>
      </c>
      <c r="D30">
        <v>3.4156</v>
      </c>
      <c r="E30">
        <f t="shared" si="11"/>
        <v>3.4156</v>
      </c>
      <c r="F30">
        <f t="shared" si="12"/>
        <v>2.1842761999999998</v>
      </c>
      <c r="G30" s="6">
        <f t="shared" si="13"/>
        <v>3.1469185996254138E-2</v>
      </c>
      <c r="H30">
        <f t="shared" si="15"/>
        <v>566.44534793257446</v>
      </c>
    </row>
    <row r="31" spans="1:9">
      <c r="A31">
        <f t="shared" ref="A31" si="17">B31/40</f>
        <v>400</v>
      </c>
      <c r="B31">
        <v>16000</v>
      </c>
      <c r="C31">
        <v>4</v>
      </c>
      <c r="D31">
        <v>5.0857999999999999</v>
      </c>
      <c r="E31">
        <f t="shared" si="11"/>
        <v>5.0857999999999999</v>
      </c>
      <c r="F31">
        <f t="shared" si="12"/>
        <v>3.2523690999999997</v>
      </c>
      <c r="G31" s="6">
        <f t="shared" si="13"/>
        <v>4.6857356288719204E-2</v>
      </c>
      <c r="H31">
        <f t="shared" si="15"/>
        <v>843.43241319694573</v>
      </c>
    </row>
    <row r="32" spans="1:9">
      <c r="A32">
        <f t="shared" ref="A32" si="18">B32/100</f>
        <v>200</v>
      </c>
      <c r="B32">
        <v>20000</v>
      </c>
      <c r="C32">
        <v>5</v>
      </c>
      <c r="D32">
        <v>5.8204000000000002</v>
      </c>
      <c r="E32">
        <f t="shared" si="11"/>
        <v>5.8204000000000002</v>
      </c>
      <c r="F32">
        <f t="shared" si="12"/>
        <v>3.7221457999999998</v>
      </c>
      <c r="G32" s="6">
        <f t="shared" si="13"/>
        <v>5.362549776689237E-2</v>
      </c>
      <c r="H32">
        <f t="shared" si="15"/>
        <v>965.25895980406267</v>
      </c>
    </row>
    <row r="33" spans="1:8">
      <c r="A33">
        <f t="shared" ref="A33" si="19">B33/40</f>
        <v>600</v>
      </c>
      <c r="B33">
        <v>24000</v>
      </c>
      <c r="C33">
        <v>6</v>
      </c>
      <c r="D33">
        <v>6.2304000000000004</v>
      </c>
      <c r="E33">
        <f t="shared" si="11"/>
        <v>6.2304000000000004</v>
      </c>
      <c r="F33">
        <f t="shared" si="12"/>
        <v>3.9843408</v>
      </c>
      <c r="G33" s="6">
        <f t="shared" si="13"/>
        <v>5.7402979397781301E-2</v>
      </c>
      <c r="H33">
        <f t="shared" si="15"/>
        <v>1033.2536291600634</v>
      </c>
    </row>
    <row r="34" spans="1:8">
      <c r="A34">
        <f t="shared" ref="A34" si="20">B34/100</f>
        <v>280</v>
      </c>
      <c r="B34">
        <v>28000</v>
      </c>
      <c r="C34">
        <v>7</v>
      </c>
      <c r="D34">
        <v>6.6040999999999999</v>
      </c>
      <c r="E34">
        <f t="shared" si="11"/>
        <v>6.6040999999999999</v>
      </c>
      <c r="F34">
        <f t="shared" si="12"/>
        <v>4.2233219499999999</v>
      </c>
      <c r="G34" s="6">
        <f t="shared" si="13"/>
        <v>6.0846015703789086E-2</v>
      </c>
      <c r="H34">
        <f t="shared" si="15"/>
        <v>1095.2282826682035</v>
      </c>
    </row>
    <row r="35" spans="1:8">
      <c r="A35">
        <f t="shared" ref="A35" si="21">B35/40</f>
        <v>800</v>
      </c>
      <c r="B35">
        <v>32000</v>
      </c>
      <c r="C35">
        <v>8</v>
      </c>
      <c r="D35">
        <v>6.8734999999999999</v>
      </c>
      <c r="E35">
        <f t="shared" si="11"/>
        <v>6.8734999999999999</v>
      </c>
      <c r="F35">
        <f t="shared" si="12"/>
        <v>4.3956032499999997</v>
      </c>
      <c r="G35" s="6">
        <f t="shared" si="13"/>
        <v>6.3328097536378039E-2</v>
      </c>
      <c r="H35">
        <f t="shared" si="15"/>
        <v>1139.9057556548046</v>
      </c>
    </row>
    <row r="43" spans="1:8">
      <c r="G43" s="2"/>
    </row>
    <row r="44" spans="1:8">
      <c r="F44"/>
      <c r="G44" s="6"/>
    </row>
    <row r="45" spans="1:8">
      <c r="F45"/>
      <c r="G45" s="6"/>
    </row>
    <row r="46" spans="1:8">
      <c r="F46"/>
      <c r="G46" s="6"/>
    </row>
    <row r="47" spans="1:8">
      <c r="F47"/>
      <c r="G47" s="6"/>
    </row>
    <row r="48" spans="1:8">
      <c r="F48"/>
      <c r="G48" s="6"/>
    </row>
    <row r="49" spans="6:7">
      <c r="F49"/>
      <c r="G49" s="6"/>
    </row>
    <row r="50" spans="6:7">
      <c r="F50"/>
      <c r="G50" s="6"/>
    </row>
    <row r="51" spans="6:7">
      <c r="F51"/>
      <c r="G51" s="6"/>
    </row>
    <row r="52" spans="6:7">
      <c r="F52"/>
      <c r="G52" s="6"/>
    </row>
    <row r="53" spans="6:7">
      <c r="F53"/>
      <c r="G53" s="6"/>
    </row>
    <row r="54" spans="6:7">
      <c r="F54"/>
      <c r="G54" s="6"/>
    </row>
    <row r="55" spans="6:7">
      <c r="F55"/>
      <c r="G55" s="6"/>
    </row>
    <row r="56" spans="6:7">
      <c r="F56"/>
      <c r="G56" s="6"/>
    </row>
    <row r="57" spans="6:7">
      <c r="F57"/>
      <c r="G57" s="6"/>
    </row>
    <row r="58" spans="6:7">
      <c r="F58"/>
      <c r="G58" s="6"/>
    </row>
    <row r="59" spans="6:7">
      <c r="F59"/>
      <c r="G59" s="6"/>
    </row>
    <row r="60" spans="6:7">
      <c r="F60"/>
      <c r="G60" s="6"/>
    </row>
    <row r="61" spans="6:7">
      <c r="F61"/>
      <c r="G61" s="6"/>
    </row>
    <row r="62" spans="6:7">
      <c r="F62"/>
      <c r="G62" s="6"/>
    </row>
    <row r="63" spans="6:7">
      <c r="F63"/>
      <c r="G63" s="6"/>
    </row>
    <row r="64" spans="6:7">
      <c r="F64"/>
      <c r="G64" s="6"/>
    </row>
    <row r="65" spans="6:7">
      <c r="F65"/>
      <c r="G65" s="6"/>
    </row>
    <row r="66" spans="6:7">
      <c r="F66"/>
      <c r="G66" s="6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4308-7D06-43F1-8FFA-EA0604C39F6A}">
  <dimension ref="A1:J67"/>
  <sheetViews>
    <sheetView tabSelected="1" topLeftCell="A25" workbookViewId="0">
      <selection activeCell="AA46" sqref="AA46"/>
    </sheetView>
  </sheetViews>
  <sheetFormatPr defaultRowHeight="14.5"/>
  <cols>
    <col min="4" max="4" width="18.90625" customWidth="1"/>
    <col min="5" max="5" width="15.7265625" customWidth="1"/>
    <col min="6" max="6" width="17.36328125" style="6" customWidth="1"/>
    <col min="7" max="7" width="15.54296875" customWidth="1"/>
    <col min="8" max="8" width="9.81640625" customWidth="1"/>
    <col min="9" max="9" width="17.453125" customWidth="1"/>
    <col min="12" max="12" width="15.453125" customWidth="1"/>
  </cols>
  <sheetData>
    <row r="1" spans="1:10">
      <c r="A1" t="s">
        <v>37</v>
      </c>
    </row>
    <row r="2" spans="1:10">
      <c r="A2" t="s">
        <v>30</v>
      </c>
      <c r="B2" t="s">
        <v>0</v>
      </c>
      <c r="C2" t="s">
        <v>1</v>
      </c>
      <c r="D2" s="6"/>
      <c r="E2" t="s">
        <v>38</v>
      </c>
      <c r="F2" t="s">
        <v>0</v>
      </c>
      <c r="G2" t="s">
        <v>1</v>
      </c>
    </row>
    <row r="3" spans="1:10">
      <c r="B3" s="4">
        <v>0</v>
      </c>
      <c r="C3">
        <v>0</v>
      </c>
      <c r="D3" s="6"/>
      <c r="F3" s="4">
        <v>0</v>
      </c>
      <c r="G3">
        <v>0</v>
      </c>
    </row>
    <row r="4" spans="1:10">
      <c r="B4" s="4">
        <v>1.8442000000000001</v>
      </c>
      <c r="C4">
        <v>5</v>
      </c>
      <c r="D4" s="6"/>
      <c r="F4" s="4">
        <v>6.0933999999999999</v>
      </c>
      <c r="G4">
        <v>5</v>
      </c>
    </row>
    <row r="5" spans="1:10">
      <c r="B5" s="4">
        <v>3.8277999999999999</v>
      </c>
      <c r="C5">
        <v>10</v>
      </c>
      <c r="D5" s="6"/>
      <c r="F5" s="4">
        <v>11.4688</v>
      </c>
      <c r="G5">
        <v>10</v>
      </c>
    </row>
    <row r="6" spans="1:10">
      <c r="B6" s="4">
        <v>9.3294999999999995</v>
      </c>
      <c r="C6">
        <v>25</v>
      </c>
      <c r="D6" s="6"/>
      <c r="F6" s="4">
        <v>28.781400000000001</v>
      </c>
      <c r="G6">
        <v>25</v>
      </c>
    </row>
    <row r="7" spans="1:10">
      <c r="B7" s="4">
        <v>18.712199999999999</v>
      </c>
      <c r="C7">
        <v>50</v>
      </c>
      <c r="D7" s="6"/>
      <c r="F7" s="4">
        <v>56.772100000000002</v>
      </c>
      <c r="G7">
        <v>50</v>
      </c>
    </row>
    <row r="8" spans="1:10">
      <c r="B8" s="3">
        <v>37.530299999999997</v>
      </c>
      <c r="C8">
        <v>100</v>
      </c>
      <c r="D8" s="6"/>
      <c r="F8" s="3">
        <v>116.7535</v>
      </c>
      <c r="G8">
        <v>100</v>
      </c>
    </row>
    <row r="12" spans="1:10">
      <c r="A12" t="s">
        <v>30</v>
      </c>
    </row>
    <row r="13" spans="1:10">
      <c r="A13" t="s">
        <v>10</v>
      </c>
      <c r="B13" t="s">
        <v>18</v>
      </c>
      <c r="C13" t="s">
        <v>17</v>
      </c>
      <c r="D13" t="s">
        <v>0</v>
      </c>
      <c r="E13" t="s">
        <v>22</v>
      </c>
      <c r="F13" t="s">
        <v>3</v>
      </c>
      <c r="G13" s="6" t="s">
        <v>16</v>
      </c>
      <c r="H13" s="1" t="s">
        <v>13</v>
      </c>
      <c r="J13" s="2"/>
    </row>
    <row r="14" spans="1:10">
      <c r="A14">
        <f>B14/100</f>
        <v>0</v>
      </c>
      <c r="B14">
        <v>0</v>
      </c>
      <c r="C14">
        <v>0</v>
      </c>
      <c r="D14">
        <v>0</v>
      </c>
      <c r="E14">
        <f t="shared" ref="E14:E23" si="0">D14-$H$2</f>
        <v>0</v>
      </c>
      <c r="F14">
        <f>2.7968*E14</f>
        <v>0</v>
      </c>
      <c r="G14" s="6">
        <f>F14*100/18/1000</f>
        <v>0</v>
      </c>
      <c r="H14">
        <f>G14*18*1000</f>
        <v>0</v>
      </c>
    </row>
    <row r="15" spans="1:10">
      <c r="A15">
        <f>B15/100</f>
        <v>10</v>
      </c>
      <c r="B15">
        <v>1000</v>
      </c>
      <c r="C15">
        <v>1</v>
      </c>
      <c r="D15">
        <v>5.6548999999999996</v>
      </c>
      <c r="E15">
        <f t="shared" si="0"/>
        <v>5.6548999999999996</v>
      </c>
      <c r="F15">
        <f>2.6589*E15</f>
        <v>15.03581361</v>
      </c>
      <c r="G15" s="6">
        <f>F15*100/18/1000</f>
        <v>8.3532297833333324E-2</v>
      </c>
      <c r="H15">
        <f>G15*18*1000</f>
        <v>1503.5813609999998</v>
      </c>
    </row>
    <row r="16" spans="1:10">
      <c r="A16">
        <f t="shared" ref="A16:A22" si="1">B16/100</f>
        <v>20</v>
      </c>
      <c r="B16">
        <v>2000</v>
      </c>
      <c r="C16">
        <v>2</v>
      </c>
      <c r="D16">
        <v>4.7530000000000001</v>
      </c>
      <c r="E16">
        <f t="shared" si="0"/>
        <v>4.7530000000000001</v>
      </c>
      <c r="F16">
        <f t="shared" ref="F16:F22" si="2">2.6589*E16</f>
        <v>12.637751700000001</v>
      </c>
      <c r="G16" s="6">
        <f t="shared" ref="G16:G23" si="3">F16*100/18/1000</f>
        <v>7.0209731666666664E-2</v>
      </c>
      <c r="H16">
        <f t="shared" ref="H16:H23" si="4">G16*18*1000</f>
        <v>1263.7751699999999</v>
      </c>
    </row>
    <row r="17" spans="1:9">
      <c r="A17">
        <f t="shared" si="1"/>
        <v>30</v>
      </c>
      <c r="B17">
        <v>3000</v>
      </c>
      <c r="C17">
        <v>3</v>
      </c>
      <c r="D17">
        <v>2.8950999999999998</v>
      </c>
      <c r="E17">
        <f t="shared" si="0"/>
        <v>2.8950999999999998</v>
      </c>
      <c r="F17">
        <f t="shared" si="2"/>
        <v>7.6977813899999994</v>
      </c>
      <c r="G17" s="6">
        <f t="shared" si="3"/>
        <v>4.2765452166666662E-2</v>
      </c>
      <c r="H17">
        <f t="shared" si="4"/>
        <v>769.7781389999999</v>
      </c>
    </row>
    <row r="18" spans="1:9">
      <c r="A18">
        <f t="shared" si="1"/>
        <v>40</v>
      </c>
      <c r="B18">
        <v>4000</v>
      </c>
      <c r="C18">
        <v>4</v>
      </c>
      <c r="D18">
        <v>1.881</v>
      </c>
      <c r="E18">
        <f t="shared" si="0"/>
        <v>1.881</v>
      </c>
      <c r="F18">
        <f t="shared" si="2"/>
        <v>5.0013909000000005</v>
      </c>
      <c r="G18" s="6">
        <f t="shared" si="3"/>
        <v>2.7785505000000005E-2</v>
      </c>
      <c r="H18">
        <f t="shared" si="4"/>
        <v>500.13909000000012</v>
      </c>
    </row>
    <row r="19" spans="1:9">
      <c r="A19">
        <f t="shared" si="1"/>
        <v>50</v>
      </c>
      <c r="B19">
        <v>5000</v>
      </c>
      <c r="C19">
        <v>5</v>
      </c>
      <c r="D19">
        <v>1.1711</v>
      </c>
      <c r="E19">
        <f t="shared" si="0"/>
        <v>1.1711</v>
      </c>
      <c r="F19">
        <f t="shared" si="2"/>
        <v>3.1138377900000003</v>
      </c>
      <c r="G19" s="6">
        <f t="shared" si="3"/>
        <v>1.7299098833333332E-2</v>
      </c>
      <c r="H19">
        <f t="shared" si="4"/>
        <v>311.38377899999995</v>
      </c>
    </row>
    <row r="20" spans="1:9">
      <c r="A20">
        <f t="shared" si="1"/>
        <v>60</v>
      </c>
      <c r="B20">
        <v>6000</v>
      </c>
      <c r="C20">
        <v>6</v>
      </c>
      <c r="D20">
        <v>0.64510000000000001</v>
      </c>
      <c r="E20">
        <f t="shared" si="0"/>
        <v>0.64510000000000001</v>
      </c>
      <c r="F20">
        <f t="shared" si="2"/>
        <v>1.71525639</v>
      </c>
      <c r="G20" s="6">
        <f t="shared" si="3"/>
        <v>9.5292021666666653E-3</v>
      </c>
      <c r="H20">
        <f t="shared" si="4"/>
        <v>171.52563899999998</v>
      </c>
    </row>
    <row r="21" spans="1:9">
      <c r="A21">
        <f t="shared" si="1"/>
        <v>70</v>
      </c>
      <c r="B21">
        <v>7000</v>
      </c>
      <c r="C21">
        <v>7</v>
      </c>
      <c r="D21">
        <v>0.3377</v>
      </c>
      <c r="E21">
        <f t="shared" si="0"/>
        <v>0.3377</v>
      </c>
      <c r="F21">
        <f t="shared" si="2"/>
        <v>0.89791052999999998</v>
      </c>
      <c r="G21" s="6">
        <f t="shared" si="3"/>
        <v>4.9883918333333338E-3</v>
      </c>
      <c r="H21">
        <f t="shared" si="4"/>
        <v>89.791053000000005</v>
      </c>
    </row>
    <row r="22" spans="1:9">
      <c r="A22">
        <f t="shared" si="1"/>
        <v>80</v>
      </c>
      <c r="B22">
        <v>8000</v>
      </c>
      <c r="C22">
        <v>8</v>
      </c>
      <c r="D22">
        <v>0.307</v>
      </c>
      <c r="E22">
        <f t="shared" si="0"/>
        <v>0.307</v>
      </c>
      <c r="F22">
        <f t="shared" si="2"/>
        <v>0.81628230000000002</v>
      </c>
      <c r="G22" s="6">
        <f t="shared" si="3"/>
        <v>4.5349016666666664E-3</v>
      </c>
      <c r="H22">
        <f t="shared" si="4"/>
        <v>81.628230000000002</v>
      </c>
    </row>
    <row r="23" spans="1:9">
      <c r="A23">
        <f>B23/100</f>
        <v>120</v>
      </c>
      <c r="B23">
        <v>12000</v>
      </c>
      <c r="C23">
        <v>9</v>
      </c>
      <c r="D23">
        <v>0.25309999999999999</v>
      </c>
      <c r="E23">
        <f t="shared" si="0"/>
        <v>0.25309999999999999</v>
      </c>
      <c r="F23">
        <f>2.6663*E23</f>
        <v>0.67484052999999999</v>
      </c>
      <c r="G23" s="6">
        <f t="shared" si="3"/>
        <v>3.7491140555555558E-3</v>
      </c>
      <c r="H23">
        <f t="shared" si="4"/>
        <v>67.484053000000003</v>
      </c>
    </row>
    <row r="24" spans="1:9">
      <c r="F24"/>
      <c r="G24" s="6"/>
    </row>
    <row r="25" spans="1:9">
      <c r="A25" t="s">
        <v>38</v>
      </c>
    </row>
    <row r="26" spans="1:9">
      <c r="A26" t="s">
        <v>10</v>
      </c>
      <c r="B26" t="s">
        <v>18</v>
      </c>
      <c r="C26" t="s">
        <v>17</v>
      </c>
      <c r="D26" t="s">
        <v>0</v>
      </c>
      <c r="E26" t="s">
        <v>22</v>
      </c>
      <c r="F26" t="s">
        <v>3</v>
      </c>
      <c r="G26" s="6" t="s">
        <v>16</v>
      </c>
      <c r="H26" s="1" t="s">
        <v>13</v>
      </c>
      <c r="I26" s="2"/>
    </row>
    <row r="27" spans="1:9">
      <c r="A27">
        <f>B27/100</f>
        <v>0</v>
      </c>
      <c r="B27">
        <v>0</v>
      </c>
      <c r="C27">
        <v>0</v>
      </c>
      <c r="D27">
        <v>7.8461999999999996</v>
      </c>
      <c r="E27">
        <f t="shared" ref="E27:E37" si="5">D27-$H$2</f>
        <v>7.8461999999999996</v>
      </c>
      <c r="F27">
        <f>0.6395*E27</f>
        <v>5.0176448999999996</v>
      </c>
      <c r="G27" s="6">
        <f>F27*100/6.941/1000</f>
        <v>7.2289942371416213E-2</v>
      </c>
      <c r="H27">
        <f>G27*18*1000</f>
        <v>1301.2189626854918</v>
      </c>
      <c r="I27" s="2"/>
    </row>
    <row r="28" spans="1:9">
      <c r="A28">
        <v>0</v>
      </c>
      <c r="B28">
        <v>0</v>
      </c>
      <c r="C28">
        <v>0</v>
      </c>
      <c r="D28">
        <v>7.8495999999999997</v>
      </c>
      <c r="E28">
        <v>7.8495999999999997</v>
      </c>
      <c r="F28">
        <f>0.6395*E28</f>
        <v>5.0198191999999997</v>
      </c>
      <c r="G28" s="6">
        <f>F28*100/6.941/1000</f>
        <v>7.23212678288431E-2</v>
      </c>
      <c r="H28">
        <f>G28*18*1000</f>
        <v>1301.7828209191757</v>
      </c>
      <c r="I28" s="2"/>
    </row>
    <row r="29" spans="1:9">
      <c r="A29">
        <f>B29/100</f>
        <v>10</v>
      </c>
      <c r="B29">
        <v>1000</v>
      </c>
      <c r="C29">
        <v>1</v>
      </c>
      <c r="D29">
        <v>0.24579999999999999</v>
      </c>
      <c r="E29">
        <f t="shared" si="5"/>
        <v>0.24579999999999999</v>
      </c>
      <c r="F29">
        <f t="shared" ref="F29:F36" si="6">0.6395*E29</f>
        <v>0.15718909999999997</v>
      </c>
      <c r="G29" s="6">
        <f t="shared" ref="G29:G37" si="7">F29*100/6.941/1000</f>
        <v>2.2646463045670646E-3</v>
      </c>
      <c r="H29">
        <f>G29*18*1000</f>
        <v>40.763633482207162</v>
      </c>
    </row>
    <row r="30" spans="1:9">
      <c r="A30">
        <f t="shared" ref="A30:A35" si="8">B30/100</f>
        <v>20</v>
      </c>
      <c r="B30">
        <v>2000</v>
      </c>
      <c r="C30">
        <v>2</v>
      </c>
      <c r="D30">
        <v>1.696</v>
      </c>
      <c r="E30">
        <f t="shared" si="5"/>
        <v>1.696</v>
      </c>
      <c r="F30">
        <f t="shared" si="6"/>
        <v>1.084592</v>
      </c>
      <c r="G30" s="6">
        <f t="shared" si="7"/>
        <v>1.562587523411612E-2</v>
      </c>
      <c r="H30">
        <f t="shared" ref="H30:H37" si="9">G30*18*1000</f>
        <v>281.26575421409018</v>
      </c>
    </row>
    <row r="31" spans="1:9">
      <c r="A31">
        <f t="shared" si="8"/>
        <v>30</v>
      </c>
      <c r="B31">
        <v>3000</v>
      </c>
      <c r="C31">
        <v>3</v>
      </c>
      <c r="D31">
        <v>3.4156</v>
      </c>
      <c r="E31">
        <f t="shared" si="5"/>
        <v>3.4156</v>
      </c>
      <c r="F31">
        <f t="shared" si="6"/>
        <v>2.1842761999999998</v>
      </c>
      <c r="G31" s="6">
        <f t="shared" si="7"/>
        <v>3.1469185996254138E-2</v>
      </c>
      <c r="H31">
        <f t="shared" si="9"/>
        <v>566.44534793257446</v>
      </c>
    </row>
    <row r="32" spans="1:9">
      <c r="A32">
        <f t="shared" si="8"/>
        <v>40</v>
      </c>
      <c r="B32">
        <v>4000</v>
      </c>
      <c r="C32">
        <v>4</v>
      </c>
      <c r="D32">
        <v>5.0857999999999999</v>
      </c>
      <c r="E32">
        <f t="shared" si="5"/>
        <v>5.0857999999999999</v>
      </c>
      <c r="F32">
        <f t="shared" si="6"/>
        <v>3.2523690999999997</v>
      </c>
      <c r="G32" s="6">
        <f t="shared" si="7"/>
        <v>4.6857356288719204E-2</v>
      </c>
      <c r="H32">
        <f t="shared" si="9"/>
        <v>843.43241319694573</v>
      </c>
    </row>
    <row r="33" spans="1:8">
      <c r="A33">
        <f t="shared" si="8"/>
        <v>50</v>
      </c>
      <c r="B33">
        <v>5000</v>
      </c>
      <c r="C33">
        <v>5</v>
      </c>
      <c r="D33">
        <v>5.8204000000000002</v>
      </c>
      <c r="E33">
        <f t="shared" si="5"/>
        <v>5.8204000000000002</v>
      </c>
      <c r="F33">
        <f t="shared" si="6"/>
        <v>3.7221457999999998</v>
      </c>
      <c r="G33" s="6">
        <f t="shared" si="7"/>
        <v>5.362549776689237E-2</v>
      </c>
      <c r="H33">
        <f t="shared" si="9"/>
        <v>965.25895980406267</v>
      </c>
    </row>
    <row r="34" spans="1:8">
      <c r="A34">
        <f t="shared" si="8"/>
        <v>60</v>
      </c>
      <c r="B34">
        <v>6000</v>
      </c>
      <c r="C34">
        <v>6</v>
      </c>
      <c r="D34">
        <v>6.2304000000000004</v>
      </c>
      <c r="E34">
        <f t="shared" si="5"/>
        <v>6.2304000000000004</v>
      </c>
      <c r="F34">
        <f t="shared" si="6"/>
        <v>3.9843408</v>
      </c>
      <c r="G34" s="6">
        <f t="shared" si="7"/>
        <v>5.7402979397781301E-2</v>
      </c>
      <c r="H34">
        <f t="shared" si="9"/>
        <v>1033.2536291600634</v>
      </c>
    </row>
    <row r="35" spans="1:8">
      <c r="A35">
        <f t="shared" si="8"/>
        <v>70</v>
      </c>
      <c r="B35">
        <v>7000</v>
      </c>
      <c r="C35">
        <v>7</v>
      </c>
      <c r="D35">
        <v>6.6040999999999999</v>
      </c>
      <c r="E35">
        <f t="shared" si="5"/>
        <v>6.6040999999999999</v>
      </c>
      <c r="F35">
        <f t="shared" si="6"/>
        <v>4.2233219499999999</v>
      </c>
      <c r="G35" s="6">
        <f t="shared" si="7"/>
        <v>6.0846015703789086E-2</v>
      </c>
      <c r="H35">
        <f t="shared" si="9"/>
        <v>1095.2282826682035</v>
      </c>
    </row>
    <row r="36" spans="1:8">
      <c r="A36">
        <f>B36/100</f>
        <v>80</v>
      </c>
      <c r="B36">
        <v>8000</v>
      </c>
      <c r="C36">
        <v>8</v>
      </c>
      <c r="D36">
        <v>6.8734999999999999</v>
      </c>
      <c r="E36">
        <f t="shared" si="5"/>
        <v>6.8734999999999999</v>
      </c>
      <c r="F36">
        <f t="shared" si="6"/>
        <v>4.3956032499999997</v>
      </c>
      <c r="G36" s="6">
        <f t="shared" si="7"/>
        <v>6.3328097536378039E-2</v>
      </c>
      <c r="H36">
        <f t="shared" si="9"/>
        <v>1139.9057556548046</v>
      </c>
    </row>
    <row r="37" spans="1:8">
      <c r="A37">
        <f>B37/100</f>
        <v>120</v>
      </c>
      <c r="B37">
        <v>12000</v>
      </c>
      <c r="C37">
        <v>9</v>
      </c>
      <c r="D37">
        <v>7.2760999999999996</v>
      </c>
      <c r="E37">
        <f t="shared" si="5"/>
        <v>7.2760999999999996</v>
      </c>
      <c r="F37">
        <f>0.6395*E37</f>
        <v>4.6530659499999993</v>
      </c>
      <c r="G37" s="6">
        <f t="shared" si="7"/>
        <v>6.7037400230514341E-2</v>
      </c>
      <c r="H37">
        <f t="shared" si="9"/>
        <v>1206.673204149258</v>
      </c>
    </row>
    <row r="44" spans="1:8">
      <c r="G44" s="2"/>
    </row>
    <row r="45" spans="1:8">
      <c r="F45"/>
      <c r="G45" s="6"/>
    </row>
    <row r="46" spans="1:8">
      <c r="F46"/>
      <c r="G46" s="6"/>
    </row>
    <row r="47" spans="1:8">
      <c r="F47"/>
      <c r="G47" s="6"/>
    </row>
    <row r="48" spans="1:8">
      <c r="F48"/>
      <c r="G48" s="6"/>
    </row>
    <row r="49" spans="6:7">
      <c r="F49"/>
      <c r="G49" s="6"/>
    </row>
    <row r="50" spans="6:7">
      <c r="F50"/>
      <c r="G50" s="6"/>
    </row>
    <row r="51" spans="6:7">
      <c r="F51"/>
      <c r="G51" s="6"/>
    </row>
    <row r="52" spans="6:7">
      <c r="F52"/>
      <c r="G52" s="6"/>
    </row>
    <row r="53" spans="6:7">
      <c r="F53"/>
      <c r="G53" s="6"/>
    </row>
    <row r="54" spans="6:7">
      <c r="F54"/>
      <c r="G54" s="6"/>
    </row>
    <row r="55" spans="6:7">
      <c r="F55"/>
      <c r="G55" s="6"/>
    </row>
    <row r="56" spans="6:7">
      <c r="F56"/>
      <c r="G56" s="6"/>
    </row>
    <row r="57" spans="6:7">
      <c r="F57"/>
      <c r="G57" s="6"/>
    </row>
    <row r="58" spans="6:7">
      <c r="F58"/>
      <c r="G58" s="6"/>
    </row>
    <row r="59" spans="6:7">
      <c r="F59"/>
      <c r="G59" s="6"/>
    </row>
    <row r="60" spans="6:7">
      <c r="F60"/>
      <c r="G60" s="6"/>
    </row>
    <row r="61" spans="6:7">
      <c r="F61"/>
      <c r="G61" s="6"/>
    </row>
    <row r="62" spans="6:7">
      <c r="F62"/>
      <c r="G62" s="6"/>
    </row>
    <row r="63" spans="6:7">
      <c r="F63"/>
      <c r="G63" s="6"/>
    </row>
    <row r="64" spans="6:7">
      <c r="F64"/>
      <c r="G64" s="6"/>
    </row>
    <row r="65" spans="6:7">
      <c r="F65"/>
      <c r="G65" s="6"/>
    </row>
    <row r="66" spans="6:7">
      <c r="F66"/>
      <c r="G66" s="6"/>
    </row>
    <row r="67" spans="6:7">
      <c r="F67"/>
      <c r="G67" s="6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0121</vt:lpstr>
      <vt:lpstr>0212</vt:lpstr>
      <vt:lpstr>0219</vt:lpstr>
      <vt:lpstr>0305-600</vt:lpstr>
      <vt:lpstr>0305-520</vt:lpstr>
      <vt:lpstr>0312-600 </vt:lpstr>
      <vt:lpstr>0312-520</vt:lpstr>
      <vt:lpstr>0319-520 </vt:lpstr>
      <vt:lpstr>0326-600</vt:lpstr>
      <vt:lpstr>0326-520</vt:lpstr>
      <vt:lpstr>0326-C104</vt:lpstr>
      <vt:lpstr>0409-600 </vt:lpstr>
      <vt:lpstr>0406-520</vt:lpstr>
      <vt:lpstr>0416-600 </vt:lpstr>
      <vt:lpstr>0416-520</vt:lpstr>
      <vt:lpstr>0423-600</vt:lpstr>
      <vt:lpstr>0423-520</vt:lpstr>
      <vt:lpstr>0512-520</vt:lpstr>
      <vt:lpstr>0512-600</vt:lpstr>
      <vt:lpstr>0512-C104</vt:lpstr>
      <vt:lpstr>0528-C104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Lucas HD</cp:lastModifiedBy>
  <dcterms:created xsi:type="dcterms:W3CDTF">2015-06-05T18:19:34Z</dcterms:created>
  <dcterms:modified xsi:type="dcterms:W3CDTF">2025-05-28T03:30:16Z</dcterms:modified>
</cp:coreProperties>
</file>